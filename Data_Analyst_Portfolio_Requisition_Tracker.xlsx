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iv2\Downloads\"/>
    </mc:Choice>
  </mc:AlternateContent>
  <xr:revisionPtr revIDLastSave="0" documentId="13_ncr:1_{2B06CE76-B680-4B99-A32E-2D9E8F636ED5}" xr6:coauthVersionLast="47" xr6:coauthVersionMax="47" xr10:uidLastSave="{00000000-0000-0000-0000-000000000000}"/>
  <bookViews>
    <workbookView xWindow="-108" yWindow="-108" windowWidth="23256" windowHeight="12456" tabRatio="500" firstSheet="6" activeTab="9" xr2:uid="{00000000-000D-0000-FFFF-FFFF00000000}"/>
  </bookViews>
  <sheets>
    <sheet name="README" sheetId="1" r:id="rId1"/>
    <sheet name="Raw_Data" sheetId="2" r:id="rId2"/>
    <sheet name="Lookup_Tables" sheetId="3" r:id="rId3"/>
    <sheet name="Cleaned_Data" sheetId="4" r:id="rId4"/>
    <sheet name="Data_Cleaning_Log" sheetId="5" r:id="rId5"/>
    <sheet name="New_Entry_Form" sheetId="6" r:id="rId6"/>
    <sheet name="Pivot_Unit_Status" sheetId="7" r:id="rId7"/>
    <sheet name="Pivot_Category_Month" sheetId="8" r:id="rId8"/>
    <sheet name="Pivot_Region_Delay" sheetId="9" r:id="rId9"/>
    <sheet name="Dashboard" sheetId="10" r:id="rId10"/>
  </sheets>
  <definedNames>
    <definedName name="_xlnm._FilterDatabase" localSheetId="3" hidden="1">Cleaned_Data!$A$1:$W$301</definedName>
    <definedName name="_xlnm._FilterDatabase" localSheetId="1" hidden="1">Raw_Data!$A$1:$P$301</definedName>
    <definedName name="_xlnm.Print_Area" localSheetId="3">Cleaned_Data!$A$1:$W$301</definedName>
    <definedName name="_xlnm.Print_Area" localSheetId="9">Dashboard!$A$1:$V$45</definedName>
    <definedName name="_xlnm.Print_Area" localSheetId="4">Data_Cleaning_Log!$B$2:$F$45</definedName>
    <definedName name="_xlnm.Print_Area" localSheetId="5">New_Entry_Form!$B$2:$P$35</definedName>
    <definedName name="_xlnm.Print_Area" localSheetId="7">Pivot_Category_Month!$B$2:$O$16</definedName>
    <definedName name="_xlnm.Print_Area" localSheetId="8">Pivot_Region_Delay!$B$2:$H$11</definedName>
    <definedName name="_xlnm.Print_Area" localSheetId="6">Pivot_Unit_Status!$B$2:$I$15</definedName>
    <definedName name="_xlnm.Print_Area" localSheetId="1">Raw_Data!$A$1:$P$301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5" l="1"/>
  <c r="P301" i="4"/>
  <c r="O301" i="4"/>
  <c r="R301" i="4" s="1"/>
  <c r="N301" i="4"/>
  <c r="M301" i="4"/>
  <c r="L301" i="4"/>
  <c r="K301" i="4"/>
  <c r="J301" i="4"/>
  <c r="I301" i="4"/>
  <c r="H301" i="4"/>
  <c r="U301" i="4" s="1"/>
  <c r="G301" i="4"/>
  <c r="T301" i="4" s="1"/>
  <c r="F301" i="4"/>
  <c r="E301" i="4"/>
  <c r="D301" i="4"/>
  <c r="C301" i="4"/>
  <c r="B301" i="4"/>
  <c r="W301" i="4" s="1"/>
  <c r="A301" i="4"/>
  <c r="P300" i="4"/>
  <c r="O300" i="4"/>
  <c r="R300" i="4" s="1"/>
  <c r="N300" i="4"/>
  <c r="M300" i="4"/>
  <c r="L300" i="4"/>
  <c r="K300" i="4"/>
  <c r="J300" i="4"/>
  <c r="I300" i="4"/>
  <c r="Q300" i="4" s="1"/>
  <c r="H300" i="4"/>
  <c r="G300" i="4"/>
  <c r="U300" i="4" s="1"/>
  <c r="F300" i="4"/>
  <c r="E300" i="4"/>
  <c r="D300" i="4"/>
  <c r="C300" i="4"/>
  <c r="B300" i="4"/>
  <c r="W300" i="4" s="1"/>
  <c r="A300" i="4"/>
  <c r="U299" i="4"/>
  <c r="T299" i="4"/>
  <c r="P299" i="4"/>
  <c r="O299" i="4"/>
  <c r="R299" i="4" s="1"/>
  <c r="N299" i="4"/>
  <c r="M299" i="4"/>
  <c r="L299" i="4"/>
  <c r="K299" i="4"/>
  <c r="J299" i="4"/>
  <c r="I299" i="4"/>
  <c r="Q299" i="4" s="1"/>
  <c r="H299" i="4"/>
  <c r="G299" i="4"/>
  <c r="F299" i="4"/>
  <c r="E299" i="4"/>
  <c r="D299" i="4"/>
  <c r="C299" i="4"/>
  <c r="B299" i="4"/>
  <c r="W299" i="4" s="1"/>
  <c r="A299" i="4"/>
  <c r="W298" i="4"/>
  <c r="U298" i="4"/>
  <c r="R298" i="4"/>
  <c r="P298" i="4"/>
  <c r="O298" i="4"/>
  <c r="N298" i="4"/>
  <c r="M298" i="4"/>
  <c r="L298" i="4"/>
  <c r="K298" i="4"/>
  <c r="J298" i="4"/>
  <c r="I298" i="4"/>
  <c r="Q298" i="4" s="1"/>
  <c r="H298" i="4"/>
  <c r="G298" i="4"/>
  <c r="T298" i="4" s="1"/>
  <c r="F298" i="4"/>
  <c r="E298" i="4"/>
  <c r="D298" i="4"/>
  <c r="C298" i="4"/>
  <c r="B298" i="4"/>
  <c r="A298" i="4"/>
  <c r="P297" i="4"/>
  <c r="O297" i="4"/>
  <c r="N297" i="4"/>
  <c r="R297" i="4" s="1"/>
  <c r="M297" i="4"/>
  <c r="L297" i="4"/>
  <c r="K297" i="4"/>
  <c r="J297" i="4"/>
  <c r="I297" i="4"/>
  <c r="Q297" i="4" s="1"/>
  <c r="H297" i="4"/>
  <c r="U297" i="4" s="1"/>
  <c r="G297" i="4"/>
  <c r="T297" i="4" s="1"/>
  <c r="F297" i="4"/>
  <c r="E297" i="4"/>
  <c r="D297" i="4"/>
  <c r="C297" i="4"/>
  <c r="B297" i="4"/>
  <c r="W297" i="4" s="1"/>
  <c r="A297" i="4"/>
  <c r="U296" i="4"/>
  <c r="R296" i="4"/>
  <c r="P296" i="4"/>
  <c r="O296" i="4"/>
  <c r="N296" i="4"/>
  <c r="M296" i="4"/>
  <c r="L296" i="4"/>
  <c r="K296" i="4"/>
  <c r="J296" i="4"/>
  <c r="I296" i="4"/>
  <c r="H296" i="4"/>
  <c r="Q296" i="4" s="1"/>
  <c r="G296" i="4"/>
  <c r="F296" i="4"/>
  <c r="E296" i="4"/>
  <c r="D296" i="4"/>
  <c r="C296" i="4"/>
  <c r="B296" i="4"/>
  <c r="W296" i="4" s="1"/>
  <c r="A296" i="4"/>
  <c r="T295" i="4"/>
  <c r="Q295" i="4"/>
  <c r="P295" i="4"/>
  <c r="O295" i="4"/>
  <c r="R295" i="4" s="1"/>
  <c r="N295" i="4"/>
  <c r="M295" i="4"/>
  <c r="L295" i="4"/>
  <c r="K295" i="4"/>
  <c r="J295" i="4"/>
  <c r="I295" i="4"/>
  <c r="H295" i="4"/>
  <c r="G295" i="4"/>
  <c r="U295" i="4" s="1"/>
  <c r="F295" i="4"/>
  <c r="E295" i="4"/>
  <c r="D295" i="4"/>
  <c r="C295" i="4"/>
  <c r="B295" i="4"/>
  <c r="W295" i="4" s="1"/>
  <c r="A295" i="4"/>
  <c r="W294" i="4"/>
  <c r="Q294" i="4"/>
  <c r="P294" i="4"/>
  <c r="O294" i="4"/>
  <c r="N294" i="4"/>
  <c r="R294" i="4" s="1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P293" i="4"/>
  <c r="O293" i="4"/>
  <c r="R293" i="4" s="1"/>
  <c r="N293" i="4"/>
  <c r="M293" i="4"/>
  <c r="L293" i="4"/>
  <c r="K293" i="4"/>
  <c r="J293" i="4"/>
  <c r="I293" i="4"/>
  <c r="H293" i="4"/>
  <c r="G293" i="4"/>
  <c r="T293" i="4" s="1"/>
  <c r="F293" i="4"/>
  <c r="E293" i="4"/>
  <c r="D293" i="4"/>
  <c r="C293" i="4"/>
  <c r="B293" i="4"/>
  <c r="W293" i="4" s="1"/>
  <c r="A293" i="4"/>
  <c r="U292" i="4"/>
  <c r="P292" i="4"/>
  <c r="O292" i="4"/>
  <c r="R292" i="4" s="1"/>
  <c r="N292" i="4"/>
  <c r="M292" i="4"/>
  <c r="L292" i="4"/>
  <c r="K292" i="4"/>
  <c r="J292" i="4"/>
  <c r="I292" i="4"/>
  <c r="Q292" i="4" s="1"/>
  <c r="H292" i="4"/>
  <c r="G292" i="4"/>
  <c r="F292" i="4"/>
  <c r="E292" i="4"/>
  <c r="D292" i="4"/>
  <c r="C292" i="4"/>
  <c r="T292" i="4" s="1"/>
  <c r="B292" i="4"/>
  <c r="W292" i="4" s="1"/>
  <c r="A292" i="4"/>
  <c r="W291" i="4"/>
  <c r="P291" i="4"/>
  <c r="O291" i="4"/>
  <c r="N291" i="4"/>
  <c r="R291" i="4" s="1"/>
  <c r="M291" i="4"/>
  <c r="L291" i="4"/>
  <c r="K291" i="4"/>
  <c r="J291" i="4"/>
  <c r="I291" i="4"/>
  <c r="H291" i="4"/>
  <c r="G291" i="4"/>
  <c r="T291" i="4" s="1"/>
  <c r="F291" i="4"/>
  <c r="E291" i="4"/>
  <c r="D291" i="4"/>
  <c r="C291" i="4"/>
  <c r="B291" i="4"/>
  <c r="A291" i="4"/>
  <c r="W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U289" i="4"/>
  <c r="T289" i="4"/>
  <c r="P289" i="4"/>
  <c r="O289" i="4"/>
  <c r="N289" i="4"/>
  <c r="M289" i="4"/>
  <c r="L289" i="4"/>
  <c r="K289" i="4"/>
  <c r="J289" i="4"/>
  <c r="I289" i="4"/>
  <c r="H289" i="4"/>
  <c r="Q289" i="4" s="1"/>
  <c r="G289" i="4"/>
  <c r="F289" i="4"/>
  <c r="E289" i="4"/>
  <c r="D289" i="4"/>
  <c r="C289" i="4"/>
  <c r="B289" i="4"/>
  <c r="W289" i="4" s="1"/>
  <c r="A289" i="4"/>
  <c r="R288" i="4"/>
  <c r="Q288" i="4"/>
  <c r="P288" i="4"/>
  <c r="O288" i="4"/>
  <c r="N288" i="4"/>
  <c r="M288" i="4"/>
  <c r="L288" i="4"/>
  <c r="K288" i="4"/>
  <c r="U288" i="4" s="1"/>
  <c r="J288" i="4"/>
  <c r="I288" i="4"/>
  <c r="H288" i="4"/>
  <c r="G288" i="4"/>
  <c r="T288" i="4" s="1"/>
  <c r="F288" i="4"/>
  <c r="E288" i="4"/>
  <c r="D288" i="4"/>
  <c r="C288" i="4"/>
  <c r="B288" i="4"/>
  <c r="W288" i="4" s="1"/>
  <c r="A288" i="4"/>
  <c r="R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T287" i="4" s="1"/>
  <c r="B287" i="4"/>
  <c r="W287" i="4" s="1"/>
  <c r="A287" i="4"/>
  <c r="W286" i="4"/>
  <c r="P286" i="4"/>
  <c r="O286" i="4"/>
  <c r="R286" i="4" s="1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U285" i="4" s="1"/>
  <c r="F285" i="4"/>
  <c r="E285" i="4"/>
  <c r="D285" i="4"/>
  <c r="C285" i="4"/>
  <c r="B285" i="4"/>
  <c r="W285" i="4" s="1"/>
  <c r="A285" i="4"/>
  <c r="W284" i="4"/>
  <c r="P284" i="4"/>
  <c r="O284" i="4"/>
  <c r="R284" i="4" s="1"/>
  <c r="N284" i="4"/>
  <c r="M284" i="4"/>
  <c r="L284" i="4"/>
  <c r="K284" i="4"/>
  <c r="J284" i="4"/>
  <c r="I284" i="4"/>
  <c r="H284" i="4"/>
  <c r="G284" i="4"/>
  <c r="T284" i="4" s="1"/>
  <c r="F284" i="4"/>
  <c r="E284" i="4"/>
  <c r="D284" i="4"/>
  <c r="C284" i="4"/>
  <c r="B284" i="4"/>
  <c r="A284" i="4"/>
  <c r="T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W283" i="4" s="1"/>
  <c r="A283" i="4"/>
  <c r="W282" i="4"/>
  <c r="U282" i="4"/>
  <c r="P282" i="4"/>
  <c r="O282" i="4"/>
  <c r="R282" i="4" s="1"/>
  <c r="N282" i="4"/>
  <c r="M282" i="4"/>
  <c r="L282" i="4"/>
  <c r="K282" i="4"/>
  <c r="J282" i="4"/>
  <c r="I282" i="4"/>
  <c r="H282" i="4"/>
  <c r="Q282" i="4" s="1"/>
  <c r="G282" i="4"/>
  <c r="T282" i="4" s="1"/>
  <c r="F282" i="4"/>
  <c r="E282" i="4"/>
  <c r="D282" i="4"/>
  <c r="C282" i="4"/>
  <c r="B282" i="4"/>
  <c r="A282" i="4"/>
  <c r="R281" i="4"/>
  <c r="Q281" i="4"/>
  <c r="P281" i="4"/>
  <c r="O281" i="4"/>
  <c r="N281" i="4"/>
  <c r="M281" i="4"/>
  <c r="L281" i="4"/>
  <c r="K281" i="4"/>
  <c r="T281" i="4" s="1"/>
  <c r="J281" i="4"/>
  <c r="I281" i="4"/>
  <c r="H281" i="4"/>
  <c r="U281" i="4" s="1"/>
  <c r="G281" i="4"/>
  <c r="F281" i="4"/>
  <c r="E281" i="4"/>
  <c r="D281" i="4"/>
  <c r="C281" i="4"/>
  <c r="B281" i="4"/>
  <c r="W281" i="4" s="1"/>
  <c r="A281" i="4"/>
  <c r="W280" i="4"/>
  <c r="U280" i="4"/>
  <c r="R280" i="4"/>
  <c r="P280" i="4"/>
  <c r="O280" i="4"/>
  <c r="N280" i="4"/>
  <c r="M280" i="4"/>
  <c r="L280" i="4"/>
  <c r="K280" i="4"/>
  <c r="J280" i="4"/>
  <c r="I280" i="4"/>
  <c r="Q280" i="4" s="1"/>
  <c r="H280" i="4"/>
  <c r="G280" i="4"/>
  <c r="F280" i="4"/>
  <c r="E280" i="4"/>
  <c r="D280" i="4"/>
  <c r="C280" i="4"/>
  <c r="T280" i="4" s="1"/>
  <c r="B280" i="4"/>
  <c r="A280" i="4"/>
  <c r="W279" i="4"/>
  <c r="P279" i="4"/>
  <c r="O279" i="4"/>
  <c r="R279" i="4" s="1"/>
  <c r="N279" i="4"/>
  <c r="M279" i="4"/>
  <c r="L279" i="4"/>
  <c r="K279" i="4"/>
  <c r="T279" i="4" s="1"/>
  <c r="J279" i="4"/>
  <c r="I279" i="4"/>
  <c r="H279" i="4"/>
  <c r="G279" i="4"/>
  <c r="F279" i="4"/>
  <c r="E279" i="4"/>
  <c r="D279" i="4"/>
  <c r="C279" i="4"/>
  <c r="B279" i="4"/>
  <c r="A279" i="4"/>
  <c r="W278" i="4"/>
  <c r="Q278" i="4"/>
  <c r="P278" i="4"/>
  <c r="O278" i="4"/>
  <c r="R278" i="4" s="1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U277" i="4"/>
  <c r="R277" i="4"/>
  <c r="P277" i="4"/>
  <c r="O277" i="4"/>
  <c r="N277" i="4"/>
  <c r="M277" i="4"/>
  <c r="L277" i="4"/>
  <c r="K277" i="4"/>
  <c r="J277" i="4"/>
  <c r="I277" i="4"/>
  <c r="H277" i="4"/>
  <c r="G277" i="4"/>
  <c r="T277" i="4" s="1"/>
  <c r="F277" i="4"/>
  <c r="E277" i="4"/>
  <c r="D277" i="4"/>
  <c r="C277" i="4"/>
  <c r="B277" i="4"/>
  <c r="W277" i="4" s="1"/>
  <c r="A277" i="4"/>
  <c r="U276" i="4"/>
  <c r="T276" i="4"/>
  <c r="P276" i="4"/>
  <c r="O276" i="4"/>
  <c r="R276" i="4" s="1"/>
  <c r="N276" i="4"/>
  <c r="M276" i="4"/>
  <c r="L276" i="4"/>
  <c r="K276" i="4"/>
  <c r="J276" i="4"/>
  <c r="I276" i="4"/>
  <c r="Q276" i="4" s="1"/>
  <c r="H276" i="4"/>
  <c r="G276" i="4"/>
  <c r="F276" i="4"/>
  <c r="E276" i="4"/>
  <c r="D276" i="4"/>
  <c r="C276" i="4"/>
  <c r="B276" i="4"/>
  <c r="W276" i="4" s="1"/>
  <c r="A276" i="4"/>
  <c r="W275" i="4"/>
  <c r="P275" i="4"/>
  <c r="O275" i="4"/>
  <c r="N275" i="4"/>
  <c r="R275" i="4" s="1"/>
  <c r="M275" i="4"/>
  <c r="L275" i="4"/>
  <c r="K275" i="4"/>
  <c r="J275" i="4"/>
  <c r="I275" i="4"/>
  <c r="H275" i="4"/>
  <c r="G275" i="4"/>
  <c r="T275" i="4" s="1"/>
  <c r="F275" i="4"/>
  <c r="E275" i="4"/>
  <c r="D275" i="4"/>
  <c r="C275" i="4"/>
  <c r="B275" i="4"/>
  <c r="A275" i="4"/>
  <c r="W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U273" i="4"/>
  <c r="T273" i="4"/>
  <c r="Q273" i="4"/>
  <c r="P273" i="4"/>
  <c r="O273" i="4"/>
  <c r="N273" i="4"/>
  <c r="R273" i="4" s="1"/>
  <c r="M273" i="4"/>
  <c r="L273" i="4"/>
  <c r="K273" i="4"/>
  <c r="J273" i="4"/>
  <c r="I273" i="4"/>
  <c r="H273" i="4"/>
  <c r="G273" i="4"/>
  <c r="F273" i="4"/>
  <c r="E273" i="4"/>
  <c r="D273" i="4"/>
  <c r="C273" i="4"/>
  <c r="B273" i="4"/>
  <c r="W273" i="4" s="1"/>
  <c r="A273" i="4"/>
  <c r="U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W272" i="4" s="1"/>
  <c r="A272" i="4"/>
  <c r="R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T271" i="4" s="1"/>
  <c r="B271" i="4"/>
  <c r="W271" i="4" s="1"/>
  <c r="A271" i="4"/>
  <c r="W270" i="4"/>
  <c r="P270" i="4"/>
  <c r="O270" i="4"/>
  <c r="R270" i="4" s="1"/>
  <c r="N270" i="4"/>
  <c r="M270" i="4"/>
  <c r="L270" i="4"/>
  <c r="K270" i="4"/>
  <c r="J270" i="4"/>
  <c r="I270" i="4"/>
  <c r="H270" i="4"/>
  <c r="G270" i="4"/>
  <c r="T270" i="4" s="1"/>
  <c r="F270" i="4"/>
  <c r="E270" i="4"/>
  <c r="D270" i="4"/>
  <c r="C270" i="4"/>
  <c r="B270" i="4"/>
  <c r="A270" i="4"/>
  <c r="Q269" i="4"/>
  <c r="P269" i="4"/>
  <c r="O269" i="4"/>
  <c r="N269" i="4"/>
  <c r="R269" i="4" s="1"/>
  <c r="M269" i="4"/>
  <c r="L269" i="4"/>
  <c r="K269" i="4"/>
  <c r="J269" i="4"/>
  <c r="I269" i="4"/>
  <c r="H269" i="4"/>
  <c r="G269" i="4"/>
  <c r="U269" i="4" s="1"/>
  <c r="F269" i="4"/>
  <c r="E269" i="4"/>
  <c r="D269" i="4"/>
  <c r="C269" i="4"/>
  <c r="B269" i="4"/>
  <c r="W269" i="4" s="1"/>
  <c r="A269" i="4"/>
  <c r="W268" i="4"/>
  <c r="U268" i="4"/>
  <c r="T268" i="4"/>
  <c r="Q268" i="4"/>
  <c r="P268" i="4"/>
  <c r="O268" i="4"/>
  <c r="R268" i="4" s="1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W267" i="4"/>
  <c r="P267" i="4"/>
  <c r="O267" i="4"/>
  <c r="R267" i="4" s="1"/>
  <c r="N267" i="4"/>
  <c r="M267" i="4"/>
  <c r="L267" i="4"/>
  <c r="K267" i="4"/>
  <c r="J267" i="4"/>
  <c r="I267" i="4"/>
  <c r="H267" i="4"/>
  <c r="G267" i="4"/>
  <c r="T267" i="4" s="1"/>
  <c r="F267" i="4"/>
  <c r="E267" i="4"/>
  <c r="D267" i="4"/>
  <c r="C267" i="4"/>
  <c r="B267" i="4"/>
  <c r="A267" i="4"/>
  <c r="W266" i="4"/>
  <c r="P266" i="4"/>
  <c r="O266" i="4"/>
  <c r="R266" i="4" s="1"/>
  <c r="N266" i="4"/>
  <c r="M266" i="4"/>
  <c r="L266" i="4"/>
  <c r="K266" i="4"/>
  <c r="J266" i="4"/>
  <c r="I266" i="4"/>
  <c r="H266" i="4"/>
  <c r="Q266" i="4" s="1"/>
  <c r="G266" i="4"/>
  <c r="F266" i="4"/>
  <c r="E266" i="4"/>
  <c r="D266" i="4"/>
  <c r="C266" i="4"/>
  <c r="B266" i="4"/>
  <c r="A266" i="4"/>
  <c r="U265" i="4"/>
  <c r="P265" i="4"/>
  <c r="O265" i="4"/>
  <c r="N265" i="4"/>
  <c r="R265" i="4" s="1"/>
  <c r="M265" i="4"/>
  <c r="L265" i="4"/>
  <c r="K265" i="4"/>
  <c r="J265" i="4"/>
  <c r="I265" i="4"/>
  <c r="Q265" i="4" s="1"/>
  <c r="H265" i="4"/>
  <c r="G265" i="4"/>
  <c r="T265" i="4" s="1"/>
  <c r="F265" i="4"/>
  <c r="E265" i="4"/>
  <c r="D265" i="4"/>
  <c r="C265" i="4"/>
  <c r="B265" i="4"/>
  <c r="W265" i="4" s="1"/>
  <c r="A265" i="4"/>
  <c r="W264" i="4"/>
  <c r="T264" i="4"/>
  <c r="Q264" i="4"/>
  <c r="P264" i="4"/>
  <c r="O264" i="4"/>
  <c r="N264" i="4"/>
  <c r="M264" i="4"/>
  <c r="L264" i="4"/>
  <c r="K264" i="4"/>
  <c r="J264" i="4"/>
  <c r="I264" i="4"/>
  <c r="H264" i="4"/>
  <c r="G264" i="4"/>
  <c r="U264" i="4" s="1"/>
  <c r="F264" i="4"/>
  <c r="E264" i="4"/>
  <c r="D264" i="4"/>
  <c r="C264" i="4"/>
  <c r="B264" i="4"/>
  <c r="A264" i="4"/>
  <c r="W263" i="4"/>
  <c r="U263" i="4"/>
  <c r="P263" i="4"/>
  <c r="O263" i="4"/>
  <c r="N263" i="4"/>
  <c r="M263" i="4"/>
  <c r="L263" i="4"/>
  <c r="K263" i="4"/>
  <c r="J263" i="4"/>
  <c r="I263" i="4"/>
  <c r="H263" i="4"/>
  <c r="Q263" i="4" s="1"/>
  <c r="G263" i="4"/>
  <c r="F263" i="4"/>
  <c r="E263" i="4"/>
  <c r="D263" i="4"/>
  <c r="C263" i="4"/>
  <c r="B263" i="4"/>
  <c r="A263" i="4"/>
  <c r="Q262" i="4"/>
  <c r="P262" i="4"/>
  <c r="O262" i="4"/>
  <c r="R262" i="4" s="1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W262" i="4" s="1"/>
  <c r="A262" i="4"/>
  <c r="U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T261" i="4" s="1"/>
  <c r="B261" i="4"/>
  <c r="W261" i="4" s="1"/>
  <c r="A261" i="4"/>
  <c r="W260" i="4"/>
  <c r="U260" i="4"/>
  <c r="P260" i="4"/>
  <c r="O260" i="4"/>
  <c r="R260" i="4" s="1"/>
  <c r="N260" i="4"/>
  <c r="M260" i="4"/>
  <c r="L260" i="4"/>
  <c r="K260" i="4"/>
  <c r="J260" i="4"/>
  <c r="I260" i="4"/>
  <c r="Q260" i="4" s="1"/>
  <c r="H260" i="4"/>
  <c r="G260" i="4"/>
  <c r="F260" i="4"/>
  <c r="E260" i="4"/>
  <c r="D260" i="4"/>
  <c r="C260" i="4"/>
  <c r="B260" i="4"/>
  <c r="A260" i="4"/>
  <c r="P259" i="4"/>
  <c r="O259" i="4"/>
  <c r="R259" i="4" s="1"/>
  <c r="N259" i="4"/>
  <c r="M259" i="4"/>
  <c r="L259" i="4"/>
  <c r="K259" i="4"/>
  <c r="J259" i="4"/>
  <c r="I259" i="4"/>
  <c r="H259" i="4"/>
  <c r="G259" i="4"/>
  <c r="T259" i="4" s="1"/>
  <c r="F259" i="4"/>
  <c r="E259" i="4"/>
  <c r="D259" i="4"/>
  <c r="C259" i="4"/>
  <c r="B259" i="4"/>
  <c r="W259" i="4" s="1"/>
  <c r="A259" i="4"/>
  <c r="W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U257" i="4"/>
  <c r="T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W257" i="4" s="1"/>
  <c r="A257" i="4"/>
  <c r="W256" i="4"/>
  <c r="P256" i="4"/>
  <c r="O256" i="4"/>
  <c r="R256" i="4" s="1"/>
  <c r="N256" i="4"/>
  <c r="M256" i="4"/>
  <c r="L256" i="4"/>
  <c r="K256" i="4"/>
  <c r="J256" i="4"/>
  <c r="I256" i="4"/>
  <c r="H256" i="4"/>
  <c r="G256" i="4"/>
  <c r="T256" i="4" s="1"/>
  <c r="F256" i="4"/>
  <c r="E256" i="4"/>
  <c r="D256" i="4"/>
  <c r="C256" i="4"/>
  <c r="B256" i="4"/>
  <c r="A256" i="4"/>
  <c r="R255" i="4"/>
  <c r="P255" i="4"/>
  <c r="O255" i="4"/>
  <c r="N255" i="4"/>
  <c r="M255" i="4"/>
  <c r="L255" i="4"/>
  <c r="K255" i="4"/>
  <c r="T255" i="4" s="1"/>
  <c r="J255" i="4"/>
  <c r="I255" i="4"/>
  <c r="H255" i="4"/>
  <c r="G255" i="4"/>
  <c r="F255" i="4"/>
  <c r="E255" i="4"/>
  <c r="D255" i="4"/>
  <c r="C255" i="4"/>
  <c r="B255" i="4"/>
  <c r="W255" i="4" s="1"/>
  <c r="A255" i="4"/>
  <c r="R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W254" i="4" s="1"/>
  <c r="A254" i="4"/>
  <c r="P253" i="4"/>
  <c r="O253" i="4"/>
  <c r="N253" i="4"/>
  <c r="R253" i="4" s="1"/>
  <c r="M253" i="4"/>
  <c r="L253" i="4"/>
  <c r="K253" i="4"/>
  <c r="J253" i="4"/>
  <c r="I253" i="4"/>
  <c r="Q253" i="4" s="1"/>
  <c r="H253" i="4"/>
  <c r="G253" i="4"/>
  <c r="F253" i="4"/>
  <c r="E253" i="4"/>
  <c r="D253" i="4"/>
  <c r="C253" i="4"/>
  <c r="B253" i="4"/>
  <c r="W253" i="4" s="1"/>
  <c r="A253" i="4"/>
  <c r="R252" i="4"/>
  <c r="Q252" i="4"/>
  <c r="P252" i="4"/>
  <c r="O252" i="4"/>
  <c r="N252" i="4"/>
  <c r="M252" i="4"/>
  <c r="L252" i="4"/>
  <c r="K252" i="4"/>
  <c r="T252" i="4" s="1"/>
  <c r="J252" i="4"/>
  <c r="I252" i="4"/>
  <c r="H252" i="4"/>
  <c r="G252" i="4"/>
  <c r="F252" i="4"/>
  <c r="E252" i="4"/>
  <c r="D252" i="4"/>
  <c r="C252" i="4"/>
  <c r="B252" i="4"/>
  <c r="W252" i="4" s="1"/>
  <c r="A252" i="4"/>
  <c r="T251" i="4"/>
  <c r="P251" i="4"/>
  <c r="O251" i="4"/>
  <c r="R251" i="4" s="1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W251" i="4" s="1"/>
  <c r="A251" i="4"/>
  <c r="W250" i="4"/>
  <c r="Q250" i="4"/>
  <c r="P250" i="4"/>
  <c r="O250" i="4"/>
  <c r="N250" i="4"/>
  <c r="R250" i="4" s="1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W249" i="4"/>
  <c r="P249" i="4"/>
  <c r="O249" i="4"/>
  <c r="N249" i="4"/>
  <c r="R249" i="4" s="1"/>
  <c r="M249" i="4"/>
  <c r="L249" i="4"/>
  <c r="K249" i="4"/>
  <c r="J249" i="4"/>
  <c r="I249" i="4"/>
  <c r="H249" i="4"/>
  <c r="G249" i="4"/>
  <c r="T249" i="4" s="1"/>
  <c r="F249" i="4"/>
  <c r="E249" i="4"/>
  <c r="D249" i="4"/>
  <c r="C249" i="4"/>
  <c r="B249" i="4"/>
  <c r="A249" i="4"/>
  <c r="W248" i="4"/>
  <c r="U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T248" i="4" s="1"/>
  <c r="B248" i="4"/>
  <c r="A248" i="4"/>
  <c r="W247" i="4"/>
  <c r="U247" i="4"/>
  <c r="T247" i="4"/>
  <c r="P247" i="4"/>
  <c r="O247" i="4"/>
  <c r="N247" i="4"/>
  <c r="M247" i="4"/>
  <c r="L247" i="4"/>
  <c r="K247" i="4"/>
  <c r="J247" i="4"/>
  <c r="I247" i="4"/>
  <c r="H247" i="4"/>
  <c r="Q247" i="4" s="1"/>
  <c r="G247" i="4"/>
  <c r="F247" i="4"/>
  <c r="E247" i="4"/>
  <c r="D247" i="4"/>
  <c r="C247" i="4"/>
  <c r="B247" i="4"/>
  <c r="A247" i="4"/>
  <c r="W246" i="4"/>
  <c r="Q246" i="4"/>
  <c r="P246" i="4"/>
  <c r="O246" i="4"/>
  <c r="R246" i="4" s="1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U245" i="4"/>
  <c r="Q245" i="4"/>
  <c r="P245" i="4"/>
  <c r="O245" i="4"/>
  <c r="N245" i="4"/>
  <c r="R245" i="4" s="1"/>
  <c r="M245" i="4"/>
  <c r="L245" i="4"/>
  <c r="K245" i="4"/>
  <c r="J245" i="4"/>
  <c r="I245" i="4"/>
  <c r="H245" i="4"/>
  <c r="G245" i="4"/>
  <c r="F245" i="4"/>
  <c r="E245" i="4"/>
  <c r="D245" i="4"/>
  <c r="C245" i="4"/>
  <c r="T245" i="4" s="1"/>
  <c r="B245" i="4"/>
  <c r="W245" i="4" s="1"/>
  <c r="A245" i="4"/>
  <c r="W244" i="4"/>
  <c r="Q244" i="4"/>
  <c r="P244" i="4"/>
  <c r="O244" i="4"/>
  <c r="R244" i="4" s="1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W243" i="4"/>
  <c r="P243" i="4"/>
  <c r="O243" i="4"/>
  <c r="R243" i="4" s="1"/>
  <c r="N243" i="4"/>
  <c r="M243" i="4"/>
  <c r="L243" i="4"/>
  <c r="K243" i="4"/>
  <c r="J243" i="4"/>
  <c r="I243" i="4"/>
  <c r="H243" i="4"/>
  <c r="G243" i="4"/>
  <c r="T243" i="4" s="1"/>
  <c r="F243" i="4"/>
  <c r="E243" i="4"/>
  <c r="D243" i="4"/>
  <c r="C243" i="4"/>
  <c r="B243" i="4"/>
  <c r="A243" i="4"/>
  <c r="W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U241" i="4"/>
  <c r="T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W241" i="4" s="1"/>
  <c r="A241" i="4"/>
  <c r="W240" i="4"/>
  <c r="P240" i="4"/>
  <c r="O240" i="4"/>
  <c r="R240" i="4" s="1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R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T239" i="4" s="1"/>
  <c r="B239" i="4"/>
  <c r="W239" i="4" s="1"/>
  <c r="A239" i="4"/>
  <c r="U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T238" i="4" s="1"/>
  <c r="B238" i="4"/>
  <c r="W238" i="4" s="1"/>
  <c r="A238" i="4"/>
  <c r="T237" i="4"/>
  <c r="P237" i="4"/>
  <c r="O237" i="4"/>
  <c r="N237" i="4"/>
  <c r="R237" i="4" s="1"/>
  <c r="M237" i="4"/>
  <c r="L237" i="4"/>
  <c r="K237" i="4"/>
  <c r="J237" i="4"/>
  <c r="I237" i="4"/>
  <c r="H237" i="4"/>
  <c r="G237" i="4"/>
  <c r="F237" i="4"/>
  <c r="E237" i="4"/>
  <c r="D237" i="4"/>
  <c r="C237" i="4"/>
  <c r="B237" i="4"/>
  <c r="W237" i="4" s="1"/>
  <c r="A237" i="4"/>
  <c r="R236" i="4"/>
  <c r="P236" i="4"/>
  <c r="O236" i="4"/>
  <c r="N236" i="4"/>
  <c r="M236" i="4"/>
  <c r="L236" i="4"/>
  <c r="K236" i="4"/>
  <c r="J236" i="4"/>
  <c r="I236" i="4"/>
  <c r="H236" i="4"/>
  <c r="Q236" i="4" s="1"/>
  <c r="G236" i="4"/>
  <c r="F236" i="4"/>
  <c r="E236" i="4"/>
  <c r="D236" i="4"/>
  <c r="C236" i="4"/>
  <c r="B236" i="4"/>
  <c r="W236" i="4" s="1"/>
  <c r="A236" i="4"/>
  <c r="W235" i="4"/>
  <c r="T235" i="4"/>
  <c r="P235" i="4"/>
  <c r="O235" i="4"/>
  <c r="R235" i="4" s="1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W234" i="4"/>
  <c r="P234" i="4"/>
  <c r="O234" i="4"/>
  <c r="R234" i="4" s="1"/>
  <c r="N234" i="4"/>
  <c r="M234" i="4"/>
  <c r="L234" i="4"/>
  <c r="K234" i="4"/>
  <c r="J234" i="4"/>
  <c r="I234" i="4"/>
  <c r="Q234" i="4" s="1"/>
  <c r="H234" i="4"/>
  <c r="G234" i="4"/>
  <c r="F234" i="4"/>
  <c r="E234" i="4"/>
  <c r="D234" i="4"/>
  <c r="C234" i="4"/>
  <c r="B234" i="4"/>
  <c r="A234" i="4"/>
  <c r="U233" i="4"/>
  <c r="P233" i="4"/>
  <c r="O233" i="4"/>
  <c r="N233" i="4"/>
  <c r="R233" i="4" s="1"/>
  <c r="M233" i="4"/>
  <c r="L233" i="4"/>
  <c r="K233" i="4"/>
  <c r="J233" i="4"/>
  <c r="I233" i="4"/>
  <c r="H233" i="4"/>
  <c r="G233" i="4"/>
  <c r="T233" i="4" s="1"/>
  <c r="F233" i="4"/>
  <c r="E233" i="4"/>
  <c r="D233" i="4"/>
  <c r="C233" i="4"/>
  <c r="B233" i="4"/>
  <c r="W233" i="4" s="1"/>
  <c r="A233" i="4"/>
  <c r="W232" i="4"/>
  <c r="U232" i="4"/>
  <c r="P232" i="4"/>
  <c r="O232" i="4"/>
  <c r="R232" i="4" s="1"/>
  <c r="N232" i="4"/>
  <c r="M232" i="4"/>
  <c r="L232" i="4"/>
  <c r="K232" i="4"/>
  <c r="J232" i="4"/>
  <c r="I232" i="4"/>
  <c r="Q232" i="4" s="1"/>
  <c r="H232" i="4"/>
  <c r="G232" i="4"/>
  <c r="F232" i="4"/>
  <c r="E232" i="4"/>
  <c r="D232" i="4"/>
  <c r="C232" i="4"/>
  <c r="T232" i="4" s="1"/>
  <c r="B232" i="4"/>
  <c r="A232" i="4"/>
  <c r="W231" i="4"/>
  <c r="P231" i="4"/>
  <c r="O231" i="4"/>
  <c r="N231" i="4"/>
  <c r="R231" i="4" s="1"/>
  <c r="M231" i="4"/>
  <c r="L231" i="4"/>
  <c r="K231" i="4"/>
  <c r="J231" i="4"/>
  <c r="I231" i="4"/>
  <c r="H231" i="4"/>
  <c r="G231" i="4"/>
  <c r="T231" i="4" s="1"/>
  <c r="F231" i="4"/>
  <c r="E231" i="4"/>
  <c r="D231" i="4"/>
  <c r="C231" i="4"/>
  <c r="B231" i="4"/>
  <c r="A231" i="4"/>
  <c r="U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W230" i="4" s="1"/>
  <c r="A230" i="4"/>
  <c r="U229" i="4"/>
  <c r="R229" i="4"/>
  <c r="P229" i="4"/>
  <c r="O229" i="4"/>
  <c r="N229" i="4"/>
  <c r="M229" i="4"/>
  <c r="L229" i="4"/>
  <c r="K229" i="4"/>
  <c r="J229" i="4"/>
  <c r="I229" i="4"/>
  <c r="Q229" i="4" s="1"/>
  <c r="H229" i="4"/>
  <c r="G229" i="4"/>
  <c r="F229" i="4"/>
  <c r="E229" i="4"/>
  <c r="D229" i="4"/>
  <c r="C229" i="4"/>
  <c r="T229" i="4" s="1"/>
  <c r="B229" i="4"/>
  <c r="W229" i="4" s="1"/>
  <c r="A229" i="4"/>
  <c r="W228" i="4"/>
  <c r="P228" i="4"/>
  <c r="O228" i="4"/>
  <c r="R228" i="4" s="1"/>
  <c r="N228" i="4"/>
  <c r="M228" i="4"/>
  <c r="L228" i="4"/>
  <c r="K228" i="4"/>
  <c r="J228" i="4"/>
  <c r="I228" i="4"/>
  <c r="H228" i="4"/>
  <c r="G228" i="4"/>
  <c r="T228" i="4" s="1"/>
  <c r="F228" i="4"/>
  <c r="E228" i="4"/>
  <c r="D228" i="4"/>
  <c r="C228" i="4"/>
  <c r="B228" i="4"/>
  <c r="A228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T227" i="4" s="1"/>
  <c r="B227" i="4"/>
  <c r="W227" i="4" s="1"/>
  <c r="A227" i="4"/>
  <c r="W226" i="4"/>
  <c r="U226" i="4"/>
  <c r="Q226" i="4"/>
  <c r="P226" i="4"/>
  <c r="O226" i="4"/>
  <c r="R226" i="4" s="1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U225" i="4"/>
  <c r="T225" i="4"/>
  <c r="P225" i="4"/>
  <c r="O225" i="4"/>
  <c r="N225" i="4"/>
  <c r="M225" i="4"/>
  <c r="L225" i="4"/>
  <c r="K225" i="4"/>
  <c r="J225" i="4"/>
  <c r="I225" i="4"/>
  <c r="H225" i="4"/>
  <c r="Q225" i="4" s="1"/>
  <c r="G225" i="4"/>
  <c r="F225" i="4"/>
  <c r="E225" i="4"/>
  <c r="D225" i="4"/>
  <c r="C225" i="4"/>
  <c r="B225" i="4"/>
  <c r="W225" i="4" s="1"/>
  <c r="A225" i="4"/>
  <c r="W224" i="4"/>
  <c r="U224" i="4"/>
  <c r="T224" i="4"/>
  <c r="Q224" i="4"/>
  <c r="P224" i="4"/>
  <c r="O224" i="4"/>
  <c r="R224" i="4" s="1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R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T223" i="4" s="1"/>
  <c r="B223" i="4"/>
  <c r="W223" i="4" s="1"/>
  <c r="A223" i="4"/>
  <c r="W222" i="4"/>
  <c r="P222" i="4"/>
  <c r="O222" i="4"/>
  <c r="R222" i="4" s="1"/>
  <c r="N222" i="4"/>
  <c r="M222" i="4"/>
  <c r="L222" i="4"/>
  <c r="K222" i="4"/>
  <c r="J222" i="4"/>
  <c r="I222" i="4"/>
  <c r="Q222" i="4" s="1"/>
  <c r="H222" i="4"/>
  <c r="G222" i="4"/>
  <c r="F222" i="4"/>
  <c r="E222" i="4"/>
  <c r="D222" i="4"/>
  <c r="C222" i="4"/>
  <c r="B222" i="4"/>
  <c r="A222" i="4"/>
  <c r="R221" i="4"/>
  <c r="P221" i="4"/>
  <c r="O221" i="4"/>
  <c r="N221" i="4"/>
  <c r="M221" i="4"/>
  <c r="L221" i="4"/>
  <c r="K221" i="4"/>
  <c r="T221" i="4" s="1"/>
  <c r="J221" i="4"/>
  <c r="I221" i="4"/>
  <c r="H221" i="4"/>
  <c r="G221" i="4"/>
  <c r="F221" i="4"/>
  <c r="E221" i="4"/>
  <c r="D221" i="4"/>
  <c r="C221" i="4"/>
  <c r="B221" i="4"/>
  <c r="W221" i="4" s="1"/>
  <c r="A221" i="4"/>
  <c r="W220" i="4"/>
  <c r="Q220" i="4"/>
  <c r="P220" i="4"/>
  <c r="O220" i="4"/>
  <c r="R220" i="4" s="1"/>
  <c r="N220" i="4"/>
  <c r="M220" i="4"/>
  <c r="L220" i="4"/>
  <c r="K220" i="4"/>
  <c r="J220" i="4"/>
  <c r="I220" i="4"/>
  <c r="H220" i="4"/>
  <c r="U220" i="4" s="1"/>
  <c r="G220" i="4"/>
  <c r="F220" i="4"/>
  <c r="E220" i="4"/>
  <c r="D220" i="4"/>
  <c r="C220" i="4"/>
  <c r="T220" i="4" s="1"/>
  <c r="B220" i="4"/>
  <c r="A220" i="4"/>
  <c r="W219" i="4"/>
  <c r="P219" i="4"/>
  <c r="O219" i="4"/>
  <c r="N219" i="4"/>
  <c r="R219" i="4" s="1"/>
  <c r="M219" i="4"/>
  <c r="L219" i="4"/>
  <c r="K219" i="4"/>
  <c r="J219" i="4"/>
  <c r="I219" i="4"/>
  <c r="H219" i="4"/>
  <c r="G219" i="4"/>
  <c r="T219" i="4" s="1"/>
  <c r="F219" i="4"/>
  <c r="E219" i="4"/>
  <c r="D219" i="4"/>
  <c r="C219" i="4"/>
  <c r="B219" i="4"/>
  <c r="A219" i="4"/>
  <c r="Q218" i="4"/>
  <c r="P218" i="4"/>
  <c r="O218" i="4"/>
  <c r="R218" i="4" s="1"/>
  <c r="N218" i="4"/>
  <c r="M218" i="4"/>
  <c r="L218" i="4"/>
  <c r="K218" i="4"/>
  <c r="U218" i="4" s="1"/>
  <c r="J218" i="4"/>
  <c r="I218" i="4"/>
  <c r="H218" i="4"/>
  <c r="G218" i="4"/>
  <c r="F218" i="4"/>
  <c r="E218" i="4"/>
  <c r="D218" i="4"/>
  <c r="C218" i="4"/>
  <c r="B218" i="4"/>
  <c r="W218" i="4" s="1"/>
  <c r="A218" i="4"/>
  <c r="R217" i="4"/>
  <c r="P217" i="4"/>
  <c r="O217" i="4"/>
  <c r="N217" i="4"/>
  <c r="M217" i="4"/>
  <c r="L217" i="4"/>
  <c r="K217" i="4"/>
  <c r="J217" i="4"/>
  <c r="I217" i="4"/>
  <c r="Q217" i="4" s="1"/>
  <c r="H217" i="4"/>
  <c r="G217" i="4"/>
  <c r="U217" i="4" s="1"/>
  <c r="F217" i="4"/>
  <c r="E217" i="4"/>
  <c r="D217" i="4"/>
  <c r="C217" i="4"/>
  <c r="B217" i="4"/>
  <c r="W217" i="4" s="1"/>
  <c r="A217" i="4"/>
  <c r="W216" i="4"/>
  <c r="P216" i="4"/>
  <c r="O216" i="4"/>
  <c r="N216" i="4"/>
  <c r="M216" i="4"/>
  <c r="L216" i="4"/>
  <c r="K216" i="4"/>
  <c r="J216" i="4"/>
  <c r="I216" i="4"/>
  <c r="H216" i="4"/>
  <c r="G216" i="4"/>
  <c r="T216" i="4" s="1"/>
  <c r="F216" i="4"/>
  <c r="E216" i="4"/>
  <c r="D216" i="4"/>
  <c r="C216" i="4"/>
  <c r="B216" i="4"/>
  <c r="A216" i="4"/>
  <c r="P215" i="4"/>
  <c r="O215" i="4"/>
  <c r="N215" i="4"/>
  <c r="M215" i="4"/>
  <c r="L215" i="4"/>
  <c r="K215" i="4"/>
  <c r="T215" i="4" s="1"/>
  <c r="J215" i="4"/>
  <c r="I215" i="4"/>
  <c r="H215" i="4"/>
  <c r="Q215" i="4" s="1"/>
  <c r="G215" i="4"/>
  <c r="F215" i="4"/>
  <c r="E215" i="4"/>
  <c r="D215" i="4"/>
  <c r="C215" i="4"/>
  <c r="B215" i="4"/>
  <c r="W215" i="4" s="1"/>
  <c r="A215" i="4"/>
  <c r="W214" i="4"/>
  <c r="U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T213" i="4"/>
  <c r="P213" i="4"/>
  <c r="O213" i="4"/>
  <c r="N213" i="4"/>
  <c r="R213" i="4" s="1"/>
  <c r="M213" i="4"/>
  <c r="L213" i="4"/>
  <c r="K213" i="4"/>
  <c r="J213" i="4"/>
  <c r="I213" i="4"/>
  <c r="H213" i="4"/>
  <c r="G213" i="4"/>
  <c r="F213" i="4"/>
  <c r="E213" i="4"/>
  <c r="D213" i="4"/>
  <c r="C213" i="4"/>
  <c r="B213" i="4"/>
  <c r="W213" i="4" s="1"/>
  <c r="A213" i="4"/>
  <c r="W212" i="4"/>
  <c r="Q212" i="4"/>
  <c r="P212" i="4"/>
  <c r="O212" i="4"/>
  <c r="R212" i="4" s="1"/>
  <c r="N212" i="4"/>
  <c r="M212" i="4"/>
  <c r="L212" i="4"/>
  <c r="K212" i="4"/>
  <c r="J212" i="4"/>
  <c r="I212" i="4"/>
  <c r="H212" i="4"/>
  <c r="G212" i="4"/>
  <c r="U212" i="4" s="1"/>
  <c r="F212" i="4"/>
  <c r="E212" i="4"/>
  <c r="D212" i="4"/>
  <c r="C212" i="4"/>
  <c r="T212" i="4" s="1"/>
  <c r="B212" i="4"/>
  <c r="A212" i="4"/>
  <c r="T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W211" i="4" s="1"/>
  <c r="A211" i="4"/>
  <c r="Q210" i="4"/>
  <c r="P210" i="4"/>
  <c r="O210" i="4"/>
  <c r="R210" i="4" s="1"/>
  <c r="N210" i="4"/>
  <c r="M210" i="4"/>
  <c r="L210" i="4"/>
  <c r="K210" i="4"/>
  <c r="J210" i="4"/>
  <c r="I210" i="4"/>
  <c r="H210" i="4"/>
  <c r="U210" i="4" s="1"/>
  <c r="G210" i="4"/>
  <c r="F210" i="4"/>
  <c r="E210" i="4"/>
  <c r="D210" i="4"/>
  <c r="C210" i="4"/>
  <c r="B210" i="4"/>
  <c r="W210" i="4" s="1"/>
  <c r="A210" i="4"/>
  <c r="U209" i="4"/>
  <c r="T209" i="4"/>
  <c r="Q209" i="4"/>
  <c r="P209" i="4"/>
  <c r="O209" i="4"/>
  <c r="R209" i="4" s="1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W209" i="4" s="1"/>
  <c r="A209" i="4"/>
  <c r="W208" i="4"/>
  <c r="P208" i="4"/>
  <c r="O208" i="4"/>
  <c r="R208" i="4" s="1"/>
  <c r="N208" i="4"/>
  <c r="M208" i="4"/>
  <c r="L208" i="4"/>
  <c r="K208" i="4"/>
  <c r="J208" i="4"/>
  <c r="I208" i="4"/>
  <c r="H208" i="4"/>
  <c r="G208" i="4"/>
  <c r="T208" i="4" s="1"/>
  <c r="F208" i="4"/>
  <c r="E208" i="4"/>
  <c r="D208" i="4"/>
  <c r="C208" i="4"/>
  <c r="B208" i="4"/>
  <c r="A208" i="4"/>
  <c r="R207" i="4"/>
  <c r="P207" i="4"/>
  <c r="O207" i="4"/>
  <c r="N207" i="4"/>
  <c r="M207" i="4"/>
  <c r="L207" i="4"/>
  <c r="K207" i="4"/>
  <c r="T207" i="4" s="1"/>
  <c r="J207" i="4"/>
  <c r="I207" i="4"/>
  <c r="H207" i="4"/>
  <c r="G207" i="4"/>
  <c r="F207" i="4"/>
  <c r="E207" i="4"/>
  <c r="D207" i="4"/>
  <c r="C207" i="4"/>
  <c r="B207" i="4"/>
  <c r="W207" i="4" s="1"/>
  <c r="A207" i="4"/>
  <c r="Q206" i="4"/>
  <c r="P206" i="4"/>
  <c r="O206" i="4"/>
  <c r="R206" i="4" s="1"/>
  <c r="N206" i="4"/>
  <c r="M206" i="4"/>
  <c r="L206" i="4"/>
  <c r="K206" i="4"/>
  <c r="J206" i="4"/>
  <c r="I206" i="4"/>
  <c r="H206" i="4"/>
  <c r="G206" i="4"/>
  <c r="U206" i="4" s="1"/>
  <c r="F206" i="4"/>
  <c r="E206" i="4"/>
  <c r="D206" i="4"/>
  <c r="C206" i="4"/>
  <c r="T206" i="4" s="1"/>
  <c r="B206" i="4"/>
  <c r="W206" i="4" s="1"/>
  <c r="A206" i="4"/>
  <c r="P205" i="4"/>
  <c r="O205" i="4"/>
  <c r="N205" i="4"/>
  <c r="R205" i="4" s="1"/>
  <c r="M205" i="4"/>
  <c r="L205" i="4"/>
  <c r="K205" i="4"/>
  <c r="T205" i="4" s="1"/>
  <c r="J205" i="4"/>
  <c r="I205" i="4"/>
  <c r="H205" i="4"/>
  <c r="G205" i="4"/>
  <c r="F205" i="4"/>
  <c r="E205" i="4"/>
  <c r="D205" i="4"/>
  <c r="C205" i="4"/>
  <c r="B205" i="4"/>
  <c r="W205" i="4" s="1"/>
  <c r="A205" i="4"/>
  <c r="Q204" i="4"/>
  <c r="P204" i="4"/>
  <c r="O204" i="4"/>
  <c r="R204" i="4" s="1"/>
  <c r="N204" i="4"/>
  <c r="M204" i="4"/>
  <c r="L204" i="4"/>
  <c r="K204" i="4"/>
  <c r="T204" i="4" s="1"/>
  <c r="J204" i="4"/>
  <c r="I204" i="4"/>
  <c r="H204" i="4"/>
  <c r="G204" i="4"/>
  <c r="F204" i="4"/>
  <c r="E204" i="4"/>
  <c r="D204" i="4"/>
  <c r="C204" i="4"/>
  <c r="B204" i="4"/>
  <c r="W204" i="4" s="1"/>
  <c r="A204" i="4"/>
  <c r="P203" i="4"/>
  <c r="O203" i="4"/>
  <c r="R203" i="4" s="1"/>
  <c r="N203" i="4"/>
  <c r="M203" i="4"/>
  <c r="L203" i="4"/>
  <c r="K203" i="4"/>
  <c r="J203" i="4"/>
  <c r="I203" i="4"/>
  <c r="H203" i="4"/>
  <c r="G203" i="4"/>
  <c r="F203" i="4"/>
  <c r="E203" i="4"/>
  <c r="D203" i="4"/>
  <c r="C203" i="4"/>
  <c r="T203" i="4" s="1"/>
  <c r="B203" i="4"/>
  <c r="W203" i="4" s="1"/>
  <c r="A203" i="4"/>
  <c r="W202" i="4"/>
  <c r="P202" i="4"/>
  <c r="O202" i="4"/>
  <c r="N202" i="4"/>
  <c r="M202" i="4"/>
  <c r="L202" i="4"/>
  <c r="K202" i="4"/>
  <c r="J202" i="4"/>
  <c r="I202" i="4"/>
  <c r="Q202" i="4" s="1"/>
  <c r="H202" i="4"/>
  <c r="G202" i="4"/>
  <c r="F202" i="4"/>
  <c r="E202" i="4"/>
  <c r="D202" i="4"/>
  <c r="C202" i="4"/>
  <c r="B202" i="4"/>
  <c r="A202" i="4"/>
  <c r="U201" i="4"/>
  <c r="T201" i="4"/>
  <c r="P201" i="4"/>
  <c r="O201" i="4"/>
  <c r="N201" i="4"/>
  <c r="R201" i="4" s="1"/>
  <c r="M201" i="4"/>
  <c r="L201" i="4"/>
  <c r="K201" i="4"/>
  <c r="J201" i="4"/>
  <c r="I201" i="4"/>
  <c r="H201" i="4"/>
  <c r="Q201" i="4" s="1"/>
  <c r="G201" i="4"/>
  <c r="F201" i="4"/>
  <c r="E201" i="4"/>
  <c r="D201" i="4"/>
  <c r="C201" i="4"/>
  <c r="B201" i="4"/>
  <c r="W201" i="4" s="1"/>
  <c r="A201" i="4"/>
  <c r="W200" i="4"/>
  <c r="U200" i="4"/>
  <c r="T200" i="4"/>
  <c r="P200" i="4"/>
  <c r="O200" i="4"/>
  <c r="N200" i="4"/>
  <c r="M200" i="4"/>
  <c r="L200" i="4"/>
  <c r="K200" i="4"/>
  <c r="J200" i="4"/>
  <c r="I200" i="4"/>
  <c r="Q200" i="4" s="1"/>
  <c r="H200" i="4"/>
  <c r="G200" i="4"/>
  <c r="F200" i="4"/>
  <c r="E200" i="4"/>
  <c r="D200" i="4"/>
  <c r="C200" i="4"/>
  <c r="B200" i="4"/>
  <c r="A200" i="4"/>
  <c r="W199" i="4"/>
  <c r="P199" i="4"/>
  <c r="O199" i="4"/>
  <c r="R199" i="4" s="1"/>
  <c r="N199" i="4"/>
  <c r="M199" i="4"/>
  <c r="L199" i="4"/>
  <c r="K199" i="4"/>
  <c r="J199" i="4"/>
  <c r="I199" i="4"/>
  <c r="H199" i="4"/>
  <c r="G199" i="4"/>
  <c r="T199" i="4" s="1"/>
  <c r="F199" i="4"/>
  <c r="E199" i="4"/>
  <c r="D199" i="4"/>
  <c r="C199" i="4"/>
  <c r="B199" i="4"/>
  <c r="A199" i="4"/>
  <c r="W198" i="4"/>
  <c r="Q198" i="4"/>
  <c r="P198" i="4"/>
  <c r="O198" i="4"/>
  <c r="R198" i="4" s="1"/>
  <c r="N198" i="4"/>
  <c r="M198" i="4"/>
  <c r="L198" i="4"/>
  <c r="K198" i="4"/>
  <c r="J198" i="4"/>
  <c r="I198" i="4"/>
  <c r="H198" i="4"/>
  <c r="G198" i="4"/>
  <c r="U198" i="4" s="1"/>
  <c r="F198" i="4"/>
  <c r="E198" i="4"/>
  <c r="D198" i="4"/>
  <c r="C198" i="4"/>
  <c r="B198" i="4"/>
  <c r="A198" i="4"/>
  <c r="U197" i="4"/>
  <c r="R197" i="4"/>
  <c r="P197" i="4"/>
  <c r="O197" i="4"/>
  <c r="N197" i="4"/>
  <c r="M197" i="4"/>
  <c r="L197" i="4"/>
  <c r="K197" i="4"/>
  <c r="J197" i="4"/>
  <c r="I197" i="4"/>
  <c r="H197" i="4"/>
  <c r="Q197" i="4" s="1"/>
  <c r="G197" i="4"/>
  <c r="F197" i="4"/>
  <c r="E197" i="4"/>
  <c r="D197" i="4"/>
  <c r="C197" i="4"/>
  <c r="T197" i="4" s="1"/>
  <c r="B197" i="4"/>
  <c r="W197" i="4" s="1"/>
  <c r="A197" i="4"/>
  <c r="W196" i="4"/>
  <c r="Q196" i="4"/>
  <c r="P196" i="4"/>
  <c r="O196" i="4"/>
  <c r="R196" i="4" s="1"/>
  <c r="N196" i="4"/>
  <c r="M196" i="4"/>
  <c r="L196" i="4"/>
  <c r="K196" i="4"/>
  <c r="J196" i="4"/>
  <c r="I196" i="4"/>
  <c r="H196" i="4"/>
  <c r="G196" i="4"/>
  <c r="T196" i="4" s="1"/>
  <c r="F196" i="4"/>
  <c r="E196" i="4"/>
  <c r="D196" i="4"/>
  <c r="C196" i="4"/>
  <c r="B196" i="4"/>
  <c r="A196" i="4"/>
  <c r="T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W195" i="4" s="1"/>
  <c r="A195" i="4"/>
  <c r="W194" i="4"/>
  <c r="P194" i="4"/>
  <c r="O194" i="4"/>
  <c r="N194" i="4"/>
  <c r="R194" i="4" s="1"/>
  <c r="M194" i="4"/>
  <c r="L194" i="4"/>
  <c r="K194" i="4"/>
  <c r="J194" i="4"/>
  <c r="I194" i="4"/>
  <c r="H194" i="4"/>
  <c r="G194" i="4"/>
  <c r="T194" i="4" s="1"/>
  <c r="F194" i="4"/>
  <c r="E194" i="4"/>
  <c r="D194" i="4"/>
  <c r="C194" i="4"/>
  <c r="B194" i="4"/>
  <c r="A194" i="4"/>
  <c r="P193" i="4"/>
  <c r="O193" i="4"/>
  <c r="R193" i="4" s="1"/>
  <c r="N193" i="4"/>
  <c r="M193" i="4"/>
  <c r="L193" i="4"/>
  <c r="K193" i="4"/>
  <c r="T193" i="4" s="1"/>
  <c r="J193" i="4"/>
  <c r="I193" i="4"/>
  <c r="H193" i="4"/>
  <c r="G193" i="4"/>
  <c r="F193" i="4"/>
  <c r="E193" i="4"/>
  <c r="D193" i="4"/>
  <c r="C193" i="4"/>
  <c r="B193" i="4"/>
  <c r="W193" i="4" s="1"/>
  <c r="A193" i="4"/>
  <c r="T192" i="4"/>
  <c r="Q192" i="4"/>
  <c r="P192" i="4"/>
  <c r="O192" i="4"/>
  <c r="R192" i="4" s="1"/>
  <c r="N192" i="4"/>
  <c r="M192" i="4"/>
  <c r="L192" i="4"/>
  <c r="K192" i="4"/>
  <c r="J192" i="4"/>
  <c r="I192" i="4"/>
  <c r="H192" i="4"/>
  <c r="U192" i="4" s="1"/>
  <c r="G192" i="4"/>
  <c r="F192" i="4"/>
  <c r="E192" i="4"/>
  <c r="D192" i="4"/>
  <c r="C192" i="4"/>
  <c r="B192" i="4"/>
  <c r="W192" i="4" s="1"/>
  <c r="A192" i="4"/>
  <c r="W191" i="4"/>
  <c r="P191" i="4"/>
  <c r="O191" i="4"/>
  <c r="N191" i="4"/>
  <c r="R191" i="4" s="1"/>
  <c r="M191" i="4"/>
  <c r="L191" i="4"/>
  <c r="K191" i="4"/>
  <c r="J191" i="4"/>
  <c r="I191" i="4"/>
  <c r="H191" i="4"/>
  <c r="G191" i="4"/>
  <c r="T191" i="4" s="1"/>
  <c r="F191" i="4"/>
  <c r="E191" i="4"/>
  <c r="D191" i="4"/>
  <c r="C191" i="4"/>
  <c r="B191" i="4"/>
  <c r="A191" i="4"/>
  <c r="R190" i="4"/>
  <c r="P190" i="4"/>
  <c r="O190" i="4"/>
  <c r="N190" i="4"/>
  <c r="M190" i="4"/>
  <c r="L190" i="4"/>
  <c r="K190" i="4"/>
  <c r="U190" i="4" s="1"/>
  <c r="J190" i="4"/>
  <c r="I190" i="4"/>
  <c r="Q190" i="4" s="1"/>
  <c r="H190" i="4"/>
  <c r="G190" i="4"/>
  <c r="F190" i="4"/>
  <c r="E190" i="4"/>
  <c r="D190" i="4"/>
  <c r="C190" i="4"/>
  <c r="B190" i="4"/>
  <c r="W190" i="4" s="1"/>
  <c r="A190" i="4"/>
  <c r="W189" i="4"/>
  <c r="R189" i="4"/>
  <c r="Q189" i="4"/>
  <c r="P189" i="4"/>
  <c r="O189" i="4"/>
  <c r="N189" i="4"/>
  <c r="M189" i="4"/>
  <c r="L189" i="4"/>
  <c r="K189" i="4"/>
  <c r="T189" i="4" s="1"/>
  <c r="J189" i="4"/>
  <c r="I189" i="4"/>
  <c r="H189" i="4"/>
  <c r="G189" i="4"/>
  <c r="F189" i="4"/>
  <c r="E189" i="4"/>
  <c r="D189" i="4"/>
  <c r="C189" i="4"/>
  <c r="B189" i="4"/>
  <c r="A189" i="4"/>
  <c r="Q188" i="4"/>
  <c r="P188" i="4"/>
  <c r="O188" i="4"/>
  <c r="N188" i="4"/>
  <c r="R188" i="4" s="1"/>
  <c r="M188" i="4"/>
  <c r="L188" i="4"/>
  <c r="K188" i="4"/>
  <c r="J188" i="4"/>
  <c r="I188" i="4"/>
  <c r="H188" i="4"/>
  <c r="G188" i="4"/>
  <c r="F188" i="4"/>
  <c r="E188" i="4"/>
  <c r="D188" i="4"/>
  <c r="C188" i="4"/>
  <c r="B188" i="4"/>
  <c r="W188" i="4" s="1"/>
  <c r="A188" i="4"/>
  <c r="W187" i="4"/>
  <c r="U187" i="4"/>
  <c r="R187" i="4"/>
  <c r="P187" i="4"/>
  <c r="O187" i="4"/>
  <c r="N187" i="4"/>
  <c r="M187" i="4"/>
  <c r="L187" i="4"/>
  <c r="K187" i="4"/>
  <c r="J187" i="4"/>
  <c r="I187" i="4"/>
  <c r="H187" i="4"/>
  <c r="Q187" i="4" s="1"/>
  <c r="G187" i="4"/>
  <c r="T187" i="4" s="1"/>
  <c r="F187" i="4"/>
  <c r="E187" i="4"/>
  <c r="D187" i="4"/>
  <c r="C187" i="4"/>
  <c r="B187" i="4"/>
  <c r="A187" i="4"/>
  <c r="W186" i="4"/>
  <c r="U186" i="4"/>
  <c r="Q186" i="4"/>
  <c r="P186" i="4"/>
  <c r="O186" i="4"/>
  <c r="R186" i="4" s="1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W185" i="4"/>
  <c r="Q185" i="4"/>
  <c r="P185" i="4"/>
  <c r="O185" i="4"/>
  <c r="N185" i="4"/>
  <c r="R185" i="4" s="1"/>
  <c r="M185" i="4"/>
  <c r="L185" i="4"/>
  <c r="K185" i="4"/>
  <c r="J185" i="4"/>
  <c r="I185" i="4"/>
  <c r="H185" i="4"/>
  <c r="U185" i="4" s="1"/>
  <c r="G185" i="4"/>
  <c r="F185" i="4"/>
  <c r="E185" i="4"/>
  <c r="D185" i="4"/>
  <c r="C185" i="4"/>
  <c r="T185" i="4" s="1"/>
  <c r="B185" i="4"/>
  <c r="A185" i="4"/>
  <c r="W184" i="4"/>
  <c r="U184" i="4"/>
  <c r="Q184" i="4"/>
  <c r="P184" i="4"/>
  <c r="O184" i="4"/>
  <c r="R184" i="4" s="1"/>
  <c r="N184" i="4"/>
  <c r="M184" i="4"/>
  <c r="L184" i="4"/>
  <c r="K184" i="4"/>
  <c r="J184" i="4"/>
  <c r="I184" i="4"/>
  <c r="H184" i="4"/>
  <c r="G184" i="4"/>
  <c r="F184" i="4"/>
  <c r="E184" i="4"/>
  <c r="D184" i="4"/>
  <c r="C184" i="4"/>
  <c r="T184" i="4" s="1"/>
  <c r="B184" i="4"/>
  <c r="A184" i="4"/>
  <c r="W183" i="4"/>
  <c r="P183" i="4"/>
  <c r="O183" i="4"/>
  <c r="R183" i="4" s="1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W182" i="4"/>
  <c r="Q182" i="4"/>
  <c r="P182" i="4"/>
  <c r="O182" i="4"/>
  <c r="R182" i="4" s="1"/>
  <c r="N182" i="4"/>
  <c r="M182" i="4"/>
  <c r="L182" i="4"/>
  <c r="K182" i="4"/>
  <c r="J182" i="4"/>
  <c r="I182" i="4"/>
  <c r="H182" i="4"/>
  <c r="U182" i="4" s="1"/>
  <c r="G182" i="4"/>
  <c r="F182" i="4"/>
  <c r="E182" i="4"/>
  <c r="D182" i="4"/>
  <c r="C182" i="4"/>
  <c r="B182" i="4"/>
  <c r="A182" i="4"/>
  <c r="S182" i="4" s="1"/>
  <c r="U181" i="4"/>
  <c r="R181" i="4"/>
  <c r="P181" i="4"/>
  <c r="O181" i="4"/>
  <c r="N181" i="4"/>
  <c r="M181" i="4"/>
  <c r="L181" i="4"/>
  <c r="K181" i="4"/>
  <c r="J181" i="4"/>
  <c r="I181" i="4"/>
  <c r="H181" i="4"/>
  <c r="Q181" i="4" s="1"/>
  <c r="G181" i="4"/>
  <c r="F181" i="4"/>
  <c r="E181" i="4"/>
  <c r="D181" i="4"/>
  <c r="C181" i="4"/>
  <c r="T181" i="4" s="1"/>
  <c r="B181" i="4"/>
  <c r="W181" i="4" s="1"/>
  <c r="A181" i="4"/>
  <c r="W180" i="4"/>
  <c r="P180" i="4"/>
  <c r="O180" i="4"/>
  <c r="R180" i="4" s="1"/>
  <c r="N180" i="4"/>
  <c r="M180" i="4"/>
  <c r="L180" i="4"/>
  <c r="K180" i="4"/>
  <c r="J180" i="4"/>
  <c r="I180" i="4"/>
  <c r="Q180" i="4" s="1"/>
  <c r="H180" i="4"/>
  <c r="G180" i="4"/>
  <c r="F180" i="4"/>
  <c r="E180" i="4"/>
  <c r="D180" i="4"/>
  <c r="C180" i="4"/>
  <c r="B180" i="4"/>
  <c r="A180" i="4"/>
  <c r="Q179" i="4"/>
  <c r="P179" i="4"/>
  <c r="O179" i="4"/>
  <c r="R179" i="4" s="1"/>
  <c r="N179" i="4"/>
  <c r="M179" i="4"/>
  <c r="L179" i="4"/>
  <c r="K179" i="4"/>
  <c r="J179" i="4"/>
  <c r="I179" i="4"/>
  <c r="H179" i="4"/>
  <c r="U179" i="4" s="1"/>
  <c r="G179" i="4"/>
  <c r="F179" i="4"/>
  <c r="E179" i="4"/>
  <c r="D179" i="4"/>
  <c r="C179" i="4"/>
  <c r="T179" i="4" s="1"/>
  <c r="B179" i="4"/>
  <c r="W179" i="4" s="1"/>
  <c r="A179" i="4"/>
  <c r="W178" i="4"/>
  <c r="P178" i="4"/>
  <c r="O178" i="4"/>
  <c r="R178" i="4" s="1"/>
  <c r="N178" i="4"/>
  <c r="M178" i="4"/>
  <c r="L178" i="4"/>
  <c r="K178" i="4"/>
  <c r="J178" i="4"/>
  <c r="I178" i="4"/>
  <c r="H178" i="4"/>
  <c r="G178" i="4"/>
  <c r="T178" i="4" s="1"/>
  <c r="F178" i="4"/>
  <c r="E178" i="4"/>
  <c r="D178" i="4"/>
  <c r="C178" i="4"/>
  <c r="B178" i="4"/>
  <c r="A178" i="4"/>
  <c r="U177" i="4"/>
  <c r="Q177" i="4"/>
  <c r="P177" i="4"/>
  <c r="O177" i="4"/>
  <c r="R177" i="4" s="1"/>
  <c r="N177" i="4"/>
  <c r="M177" i="4"/>
  <c r="L177" i="4"/>
  <c r="K177" i="4"/>
  <c r="T177" i="4" s="1"/>
  <c r="J177" i="4"/>
  <c r="I177" i="4"/>
  <c r="H177" i="4"/>
  <c r="G177" i="4"/>
  <c r="F177" i="4"/>
  <c r="E177" i="4"/>
  <c r="D177" i="4"/>
  <c r="C177" i="4"/>
  <c r="B177" i="4"/>
  <c r="W177" i="4" s="1"/>
  <c r="A177" i="4"/>
  <c r="W176" i="4"/>
  <c r="R176" i="4"/>
  <c r="P176" i="4"/>
  <c r="O176" i="4"/>
  <c r="N176" i="4"/>
  <c r="M176" i="4"/>
  <c r="L176" i="4"/>
  <c r="K176" i="4"/>
  <c r="J176" i="4"/>
  <c r="I176" i="4"/>
  <c r="H176" i="4"/>
  <c r="Q176" i="4" s="1"/>
  <c r="G176" i="4"/>
  <c r="F176" i="4"/>
  <c r="E176" i="4"/>
  <c r="D176" i="4"/>
  <c r="C176" i="4"/>
  <c r="T176" i="4" s="1"/>
  <c r="B176" i="4"/>
  <c r="A176" i="4"/>
  <c r="R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W175" i="4" s="1"/>
  <c r="A175" i="4"/>
  <c r="R174" i="4"/>
  <c r="P174" i="4"/>
  <c r="O174" i="4"/>
  <c r="N174" i="4"/>
  <c r="M174" i="4"/>
  <c r="L174" i="4"/>
  <c r="K174" i="4"/>
  <c r="J174" i="4"/>
  <c r="I174" i="4"/>
  <c r="Q174" i="4" s="1"/>
  <c r="H174" i="4"/>
  <c r="G174" i="4"/>
  <c r="F174" i="4"/>
  <c r="E174" i="4"/>
  <c r="D174" i="4"/>
  <c r="C174" i="4"/>
  <c r="B174" i="4"/>
  <c r="W174" i="4" s="1"/>
  <c r="A174" i="4"/>
  <c r="W173" i="4"/>
  <c r="P173" i="4"/>
  <c r="O173" i="4"/>
  <c r="R173" i="4" s="1"/>
  <c r="N173" i="4"/>
  <c r="M173" i="4"/>
  <c r="L173" i="4"/>
  <c r="K173" i="4"/>
  <c r="J173" i="4"/>
  <c r="I173" i="4"/>
  <c r="H173" i="4"/>
  <c r="G173" i="4"/>
  <c r="T173" i="4" s="1"/>
  <c r="F173" i="4"/>
  <c r="E173" i="4"/>
  <c r="D173" i="4"/>
  <c r="C173" i="4"/>
  <c r="B173" i="4"/>
  <c r="A173" i="4"/>
  <c r="W172" i="4"/>
  <c r="Q172" i="4"/>
  <c r="P172" i="4"/>
  <c r="O172" i="4"/>
  <c r="R172" i="4" s="1"/>
  <c r="N172" i="4"/>
  <c r="M172" i="4"/>
  <c r="L172" i="4"/>
  <c r="K172" i="4"/>
  <c r="J172" i="4"/>
  <c r="I172" i="4"/>
  <c r="H172" i="4"/>
  <c r="U172" i="4" s="1"/>
  <c r="G172" i="4"/>
  <c r="T172" i="4" s="1"/>
  <c r="F172" i="4"/>
  <c r="E172" i="4"/>
  <c r="D172" i="4"/>
  <c r="C172" i="4"/>
  <c r="B172" i="4"/>
  <c r="A172" i="4"/>
  <c r="W171" i="4"/>
  <c r="U171" i="4"/>
  <c r="T171" i="4"/>
  <c r="R171" i="4"/>
  <c r="P171" i="4"/>
  <c r="O171" i="4"/>
  <c r="N171" i="4"/>
  <c r="M171" i="4"/>
  <c r="L171" i="4"/>
  <c r="K171" i="4"/>
  <c r="J171" i="4"/>
  <c r="I171" i="4"/>
  <c r="H171" i="4"/>
  <c r="Q171" i="4" s="1"/>
  <c r="G171" i="4"/>
  <c r="F171" i="4"/>
  <c r="E171" i="4"/>
  <c r="D171" i="4"/>
  <c r="C171" i="4"/>
  <c r="B171" i="4"/>
  <c r="A171" i="4"/>
  <c r="W170" i="4"/>
  <c r="Q170" i="4"/>
  <c r="P170" i="4"/>
  <c r="O170" i="4"/>
  <c r="R170" i="4" s="1"/>
  <c r="N170" i="4"/>
  <c r="M170" i="4"/>
  <c r="L170" i="4"/>
  <c r="K170" i="4"/>
  <c r="J170" i="4"/>
  <c r="I170" i="4"/>
  <c r="H170" i="4"/>
  <c r="G170" i="4"/>
  <c r="U170" i="4" s="1"/>
  <c r="F170" i="4"/>
  <c r="E170" i="4"/>
  <c r="D170" i="4"/>
  <c r="C170" i="4"/>
  <c r="T170" i="4" s="1"/>
  <c r="B170" i="4"/>
  <c r="A170" i="4"/>
  <c r="R169" i="4"/>
  <c r="P169" i="4"/>
  <c r="O169" i="4"/>
  <c r="N169" i="4"/>
  <c r="M169" i="4"/>
  <c r="L169" i="4"/>
  <c r="K169" i="4"/>
  <c r="T169" i="4" s="1"/>
  <c r="J169" i="4"/>
  <c r="I169" i="4"/>
  <c r="H169" i="4"/>
  <c r="G169" i="4"/>
  <c r="F169" i="4"/>
  <c r="E169" i="4"/>
  <c r="D169" i="4"/>
  <c r="C169" i="4"/>
  <c r="B169" i="4"/>
  <c r="W169" i="4" s="1"/>
  <c r="A169" i="4"/>
  <c r="W168" i="4"/>
  <c r="P168" i="4"/>
  <c r="O168" i="4"/>
  <c r="N168" i="4"/>
  <c r="R168" i="4" s="1"/>
  <c r="M168" i="4"/>
  <c r="L168" i="4"/>
  <c r="K168" i="4"/>
  <c r="J168" i="4"/>
  <c r="I168" i="4"/>
  <c r="Q168" i="4" s="1"/>
  <c r="H168" i="4"/>
  <c r="G168" i="4"/>
  <c r="F168" i="4"/>
  <c r="E168" i="4"/>
  <c r="D168" i="4"/>
  <c r="C168" i="4"/>
  <c r="B168" i="4"/>
  <c r="A168" i="4"/>
  <c r="W167" i="4"/>
  <c r="Q167" i="4"/>
  <c r="P167" i="4"/>
  <c r="O167" i="4"/>
  <c r="R167" i="4" s="1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W166" i="4"/>
  <c r="U166" i="4"/>
  <c r="P166" i="4"/>
  <c r="O166" i="4"/>
  <c r="N166" i="4"/>
  <c r="R166" i="4" s="1"/>
  <c r="M166" i="4"/>
  <c r="L166" i="4"/>
  <c r="K166" i="4"/>
  <c r="J166" i="4"/>
  <c r="I166" i="4"/>
  <c r="H166" i="4"/>
  <c r="Q166" i="4" s="1"/>
  <c r="G166" i="4"/>
  <c r="T166" i="4" s="1"/>
  <c r="F166" i="4"/>
  <c r="E166" i="4"/>
  <c r="D166" i="4"/>
  <c r="C166" i="4"/>
  <c r="B166" i="4"/>
  <c r="A166" i="4"/>
  <c r="T165" i="4"/>
  <c r="R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W165" i="4" s="1"/>
  <c r="A165" i="4"/>
  <c r="W164" i="4"/>
  <c r="Q164" i="4"/>
  <c r="P164" i="4"/>
  <c r="O164" i="4"/>
  <c r="N164" i="4"/>
  <c r="M164" i="4"/>
  <c r="L164" i="4"/>
  <c r="K164" i="4"/>
  <c r="J164" i="4"/>
  <c r="I164" i="4"/>
  <c r="H164" i="4"/>
  <c r="U164" i="4" s="1"/>
  <c r="G164" i="4"/>
  <c r="F164" i="4"/>
  <c r="E164" i="4"/>
  <c r="D164" i="4"/>
  <c r="C164" i="4"/>
  <c r="T164" i="4" s="1"/>
  <c r="B164" i="4"/>
  <c r="A164" i="4"/>
  <c r="U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W163" i="4" s="1"/>
  <c r="A163" i="4"/>
  <c r="R162" i="4"/>
  <c r="P162" i="4"/>
  <c r="O162" i="4"/>
  <c r="N162" i="4"/>
  <c r="M162" i="4"/>
  <c r="L162" i="4"/>
  <c r="K162" i="4"/>
  <c r="J162" i="4"/>
  <c r="I162" i="4"/>
  <c r="Q162" i="4" s="1"/>
  <c r="H162" i="4"/>
  <c r="U162" i="4" s="1"/>
  <c r="G162" i="4"/>
  <c r="F162" i="4"/>
  <c r="E162" i="4"/>
  <c r="D162" i="4"/>
  <c r="C162" i="4"/>
  <c r="T162" i="4" s="1"/>
  <c r="B162" i="4"/>
  <c r="W162" i="4" s="1"/>
  <c r="A162" i="4"/>
  <c r="P161" i="4"/>
  <c r="O161" i="4"/>
  <c r="N161" i="4"/>
  <c r="R161" i="4" s="1"/>
  <c r="M161" i="4"/>
  <c r="L161" i="4"/>
  <c r="K161" i="4"/>
  <c r="T161" i="4" s="1"/>
  <c r="J161" i="4"/>
  <c r="I161" i="4"/>
  <c r="H161" i="4"/>
  <c r="G161" i="4"/>
  <c r="F161" i="4"/>
  <c r="E161" i="4"/>
  <c r="D161" i="4"/>
  <c r="C161" i="4"/>
  <c r="B161" i="4"/>
  <c r="W161" i="4" s="1"/>
  <c r="A161" i="4"/>
  <c r="U160" i="4"/>
  <c r="Q160" i="4"/>
  <c r="P160" i="4"/>
  <c r="O160" i="4"/>
  <c r="R160" i="4" s="1"/>
  <c r="N160" i="4"/>
  <c r="M160" i="4"/>
  <c r="L160" i="4"/>
  <c r="K160" i="4"/>
  <c r="J160" i="4"/>
  <c r="I160" i="4"/>
  <c r="H160" i="4"/>
  <c r="G160" i="4"/>
  <c r="T160" i="4" s="1"/>
  <c r="F160" i="4"/>
  <c r="E160" i="4"/>
  <c r="D160" i="4"/>
  <c r="C160" i="4"/>
  <c r="B160" i="4"/>
  <c r="W160" i="4" s="1"/>
  <c r="A160" i="4"/>
  <c r="W159" i="4"/>
  <c r="R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T159" i="4" s="1"/>
  <c r="B159" i="4"/>
  <c r="A159" i="4"/>
  <c r="R158" i="4"/>
  <c r="P158" i="4"/>
  <c r="O158" i="4"/>
  <c r="N158" i="4"/>
  <c r="M158" i="4"/>
  <c r="L158" i="4"/>
  <c r="K158" i="4"/>
  <c r="J158" i="4"/>
  <c r="I158" i="4"/>
  <c r="H158" i="4"/>
  <c r="U158" i="4" s="1"/>
  <c r="G158" i="4"/>
  <c r="F158" i="4"/>
  <c r="E158" i="4"/>
  <c r="D158" i="4"/>
  <c r="C158" i="4"/>
  <c r="B158" i="4"/>
  <c r="W158" i="4" s="1"/>
  <c r="A158" i="4"/>
  <c r="W157" i="4"/>
  <c r="T157" i="4"/>
  <c r="P157" i="4"/>
  <c r="O157" i="4"/>
  <c r="R157" i="4" s="1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W156" i="4"/>
  <c r="P156" i="4"/>
  <c r="O156" i="4"/>
  <c r="R156" i="4" s="1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W155" i="4"/>
  <c r="T155" i="4"/>
  <c r="P155" i="4"/>
  <c r="O155" i="4"/>
  <c r="N155" i="4"/>
  <c r="M155" i="4"/>
  <c r="L155" i="4"/>
  <c r="K155" i="4"/>
  <c r="J155" i="4"/>
  <c r="I155" i="4"/>
  <c r="H155" i="4"/>
  <c r="U155" i="4" s="1"/>
  <c r="G155" i="4"/>
  <c r="F155" i="4"/>
  <c r="E155" i="4"/>
  <c r="D155" i="4"/>
  <c r="C155" i="4"/>
  <c r="B155" i="4"/>
  <c r="A155" i="4"/>
  <c r="W154" i="4"/>
  <c r="U154" i="4"/>
  <c r="T154" i="4"/>
  <c r="R154" i="4"/>
  <c r="P154" i="4"/>
  <c r="O154" i="4"/>
  <c r="N154" i="4"/>
  <c r="M154" i="4"/>
  <c r="L154" i="4"/>
  <c r="K154" i="4"/>
  <c r="J154" i="4"/>
  <c r="I154" i="4"/>
  <c r="Q154" i="4" s="1"/>
  <c r="H154" i="4"/>
  <c r="G154" i="4"/>
  <c r="F154" i="4"/>
  <c r="E154" i="4"/>
  <c r="D154" i="4"/>
  <c r="C154" i="4"/>
  <c r="B154" i="4"/>
  <c r="A154" i="4"/>
  <c r="W153" i="4"/>
  <c r="Q153" i="4"/>
  <c r="P153" i="4"/>
  <c r="O153" i="4"/>
  <c r="N153" i="4"/>
  <c r="R153" i="4" s="1"/>
  <c r="M153" i="4"/>
  <c r="L153" i="4"/>
  <c r="K153" i="4"/>
  <c r="J153" i="4"/>
  <c r="I153" i="4"/>
  <c r="H153" i="4"/>
  <c r="G153" i="4"/>
  <c r="T153" i="4" s="1"/>
  <c r="F153" i="4"/>
  <c r="E153" i="4"/>
  <c r="D153" i="4"/>
  <c r="C153" i="4"/>
  <c r="B153" i="4"/>
  <c r="A153" i="4"/>
  <c r="U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T152" i="4" s="1"/>
  <c r="B152" i="4"/>
  <c r="W152" i="4" s="1"/>
  <c r="A152" i="4"/>
  <c r="W151" i="4"/>
  <c r="T151" i="4"/>
  <c r="Q151" i="4"/>
  <c r="P151" i="4"/>
  <c r="O151" i="4"/>
  <c r="N151" i="4"/>
  <c r="R151" i="4" s="1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W150" i="4"/>
  <c r="U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T150" i="4" s="1"/>
  <c r="F150" i="4"/>
  <c r="E150" i="4"/>
  <c r="D150" i="4"/>
  <c r="C150" i="4"/>
  <c r="B150" i="4"/>
  <c r="A150" i="4"/>
  <c r="W149" i="4"/>
  <c r="Q149" i="4"/>
  <c r="P149" i="4"/>
  <c r="O149" i="4"/>
  <c r="N149" i="4"/>
  <c r="R149" i="4" s="1"/>
  <c r="M149" i="4"/>
  <c r="L149" i="4"/>
  <c r="K149" i="4"/>
  <c r="J149" i="4"/>
  <c r="I149" i="4"/>
  <c r="H149" i="4"/>
  <c r="U149" i="4" s="1"/>
  <c r="G149" i="4"/>
  <c r="T149" i="4" s="1"/>
  <c r="F149" i="4"/>
  <c r="E149" i="4"/>
  <c r="D149" i="4"/>
  <c r="C149" i="4"/>
  <c r="B149" i="4"/>
  <c r="A149" i="4"/>
  <c r="W148" i="4"/>
  <c r="U148" i="4"/>
  <c r="Q148" i="4"/>
  <c r="P148" i="4"/>
  <c r="O148" i="4"/>
  <c r="R148" i="4" s="1"/>
  <c r="N148" i="4"/>
  <c r="M148" i="4"/>
  <c r="L148" i="4"/>
  <c r="K148" i="4"/>
  <c r="J148" i="4"/>
  <c r="I148" i="4"/>
  <c r="H148" i="4"/>
  <c r="G148" i="4"/>
  <c r="F148" i="4"/>
  <c r="E148" i="4"/>
  <c r="D148" i="4"/>
  <c r="C148" i="4"/>
  <c r="T148" i="4" s="1"/>
  <c r="B148" i="4"/>
  <c r="A148" i="4"/>
  <c r="R147" i="4"/>
  <c r="P147" i="4"/>
  <c r="O147" i="4"/>
  <c r="N147" i="4"/>
  <c r="M147" i="4"/>
  <c r="L147" i="4"/>
  <c r="K147" i="4"/>
  <c r="J147" i="4"/>
  <c r="I147" i="4"/>
  <c r="H147" i="4"/>
  <c r="Q147" i="4" s="1"/>
  <c r="G147" i="4"/>
  <c r="F147" i="4"/>
  <c r="E147" i="4"/>
  <c r="D147" i="4"/>
  <c r="C147" i="4"/>
  <c r="B147" i="4"/>
  <c r="W147" i="4" s="1"/>
  <c r="A147" i="4"/>
  <c r="R146" i="4"/>
  <c r="P146" i="4"/>
  <c r="O146" i="4"/>
  <c r="N146" i="4"/>
  <c r="M146" i="4"/>
  <c r="L146" i="4"/>
  <c r="K146" i="4"/>
  <c r="J146" i="4"/>
  <c r="I146" i="4"/>
  <c r="H146" i="4"/>
  <c r="G146" i="4"/>
  <c r="T146" i="4" s="1"/>
  <c r="F146" i="4"/>
  <c r="E146" i="4"/>
  <c r="D146" i="4"/>
  <c r="C146" i="4"/>
  <c r="B146" i="4"/>
  <c r="W146" i="4" s="1"/>
  <c r="A146" i="4"/>
  <c r="Q145" i="4"/>
  <c r="P145" i="4"/>
  <c r="O145" i="4"/>
  <c r="R145" i="4" s="1"/>
  <c r="N145" i="4"/>
  <c r="M145" i="4"/>
  <c r="L145" i="4"/>
  <c r="K145" i="4"/>
  <c r="J145" i="4"/>
  <c r="I145" i="4"/>
  <c r="H145" i="4"/>
  <c r="U145" i="4" s="1"/>
  <c r="G145" i="4"/>
  <c r="F145" i="4"/>
  <c r="E145" i="4"/>
  <c r="D145" i="4"/>
  <c r="C145" i="4"/>
  <c r="T145" i="4" s="1"/>
  <c r="B145" i="4"/>
  <c r="W145" i="4" s="1"/>
  <c r="A145" i="4"/>
  <c r="W144" i="4"/>
  <c r="P144" i="4"/>
  <c r="O144" i="4"/>
  <c r="R144" i="4" s="1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W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T143" i="4" s="1"/>
  <c r="F143" i="4"/>
  <c r="E143" i="4"/>
  <c r="D143" i="4"/>
  <c r="C143" i="4"/>
  <c r="B143" i="4"/>
  <c r="A143" i="4"/>
  <c r="W142" i="4"/>
  <c r="P142" i="4"/>
  <c r="O142" i="4"/>
  <c r="N142" i="4"/>
  <c r="R142" i="4" s="1"/>
  <c r="M142" i="4"/>
  <c r="L142" i="4"/>
  <c r="K142" i="4"/>
  <c r="J142" i="4"/>
  <c r="I142" i="4"/>
  <c r="H142" i="4"/>
  <c r="G142" i="4"/>
  <c r="T142" i="4" s="1"/>
  <c r="F142" i="4"/>
  <c r="E142" i="4"/>
  <c r="D142" i="4"/>
  <c r="C142" i="4"/>
  <c r="B142" i="4"/>
  <c r="A142" i="4"/>
  <c r="P141" i="4"/>
  <c r="O141" i="4"/>
  <c r="R141" i="4" s="1"/>
  <c r="N141" i="4"/>
  <c r="M141" i="4"/>
  <c r="L141" i="4"/>
  <c r="K141" i="4"/>
  <c r="J141" i="4"/>
  <c r="I141" i="4"/>
  <c r="H141" i="4"/>
  <c r="Q141" i="4" s="1"/>
  <c r="G141" i="4"/>
  <c r="F141" i="4"/>
  <c r="E141" i="4"/>
  <c r="D141" i="4"/>
  <c r="C141" i="4"/>
  <c r="B141" i="4"/>
  <c r="W141" i="4" s="1"/>
  <c r="A141" i="4"/>
  <c r="U140" i="4"/>
  <c r="R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T140" i="4" s="1"/>
  <c r="B140" i="4"/>
  <c r="W140" i="4" s="1"/>
  <c r="A140" i="4"/>
  <c r="R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W139" i="4" s="1"/>
  <c r="A139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U138" i="4" s="1"/>
  <c r="F138" i="4"/>
  <c r="E138" i="4"/>
  <c r="D138" i="4"/>
  <c r="C138" i="4"/>
  <c r="B138" i="4"/>
  <c r="W138" i="4" s="1"/>
  <c r="A138" i="4"/>
  <c r="W137" i="4"/>
  <c r="Q137" i="4"/>
  <c r="P137" i="4"/>
  <c r="O137" i="4"/>
  <c r="N137" i="4"/>
  <c r="R137" i="4" s="1"/>
  <c r="M137" i="4"/>
  <c r="L137" i="4"/>
  <c r="K137" i="4"/>
  <c r="T137" i="4" s="1"/>
  <c r="J137" i="4"/>
  <c r="I137" i="4"/>
  <c r="H137" i="4"/>
  <c r="G137" i="4"/>
  <c r="F137" i="4"/>
  <c r="E137" i="4"/>
  <c r="D137" i="4"/>
  <c r="C137" i="4"/>
  <c r="B137" i="4"/>
  <c r="A137" i="4"/>
  <c r="W136" i="4"/>
  <c r="R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W135" i="4"/>
  <c r="P135" i="4"/>
  <c r="O135" i="4"/>
  <c r="N135" i="4"/>
  <c r="R135" i="4" s="1"/>
  <c r="M135" i="4"/>
  <c r="L135" i="4"/>
  <c r="K135" i="4"/>
  <c r="J135" i="4"/>
  <c r="I135" i="4"/>
  <c r="H135" i="4"/>
  <c r="G135" i="4"/>
  <c r="T135" i="4" s="1"/>
  <c r="F135" i="4"/>
  <c r="E135" i="4"/>
  <c r="D135" i="4"/>
  <c r="C135" i="4"/>
  <c r="B135" i="4"/>
  <c r="A135" i="4"/>
  <c r="U134" i="4"/>
  <c r="Q134" i="4"/>
  <c r="P134" i="4"/>
  <c r="O134" i="4"/>
  <c r="N134" i="4"/>
  <c r="M134" i="4"/>
  <c r="L134" i="4"/>
  <c r="K134" i="4"/>
  <c r="J134" i="4"/>
  <c r="I134" i="4"/>
  <c r="H134" i="4"/>
  <c r="G134" i="4"/>
  <c r="T134" i="4" s="1"/>
  <c r="F134" i="4"/>
  <c r="E134" i="4"/>
  <c r="D134" i="4"/>
  <c r="C134" i="4"/>
  <c r="B134" i="4"/>
  <c r="W134" i="4" s="1"/>
  <c r="A134" i="4"/>
  <c r="W133" i="4"/>
  <c r="U133" i="4"/>
  <c r="R133" i="4"/>
  <c r="P133" i="4"/>
  <c r="O133" i="4"/>
  <c r="N133" i="4"/>
  <c r="M133" i="4"/>
  <c r="L133" i="4"/>
  <c r="K133" i="4"/>
  <c r="J133" i="4"/>
  <c r="I133" i="4"/>
  <c r="H133" i="4"/>
  <c r="Q133" i="4" s="1"/>
  <c r="G133" i="4"/>
  <c r="F133" i="4"/>
  <c r="E133" i="4"/>
  <c r="D133" i="4"/>
  <c r="C133" i="4"/>
  <c r="T133" i="4" s="1"/>
  <c r="B133" i="4"/>
  <c r="A133" i="4"/>
  <c r="W132" i="4"/>
  <c r="Q132" i="4"/>
  <c r="P132" i="4"/>
  <c r="O132" i="4"/>
  <c r="R132" i="4" s="1"/>
  <c r="N132" i="4"/>
  <c r="M132" i="4"/>
  <c r="L132" i="4"/>
  <c r="K132" i="4"/>
  <c r="J132" i="4"/>
  <c r="I132" i="4"/>
  <c r="H132" i="4"/>
  <c r="U132" i="4" s="1"/>
  <c r="G132" i="4"/>
  <c r="T132" i="4" s="1"/>
  <c r="F132" i="4"/>
  <c r="E132" i="4"/>
  <c r="D132" i="4"/>
  <c r="C132" i="4"/>
  <c r="B132" i="4"/>
  <c r="A132" i="4"/>
  <c r="Q131" i="4"/>
  <c r="P131" i="4"/>
  <c r="O131" i="4"/>
  <c r="N131" i="4"/>
  <c r="R131" i="4" s="1"/>
  <c r="M131" i="4"/>
  <c r="L131" i="4"/>
  <c r="K131" i="4"/>
  <c r="T131" i="4" s="1"/>
  <c r="J131" i="4"/>
  <c r="I131" i="4"/>
  <c r="H131" i="4"/>
  <c r="U131" i="4" s="1"/>
  <c r="G131" i="4"/>
  <c r="F131" i="4"/>
  <c r="E131" i="4"/>
  <c r="D131" i="4"/>
  <c r="C131" i="4"/>
  <c r="B131" i="4"/>
  <c r="W131" i="4" s="1"/>
  <c r="A131" i="4"/>
  <c r="U130" i="4"/>
  <c r="Q130" i="4"/>
  <c r="P130" i="4"/>
  <c r="O130" i="4"/>
  <c r="R130" i="4" s="1"/>
  <c r="N130" i="4"/>
  <c r="M130" i="4"/>
  <c r="L130" i="4"/>
  <c r="K130" i="4"/>
  <c r="T130" i="4" s="1"/>
  <c r="J130" i="4"/>
  <c r="I130" i="4"/>
  <c r="H130" i="4"/>
  <c r="G130" i="4"/>
  <c r="F130" i="4"/>
  <c r="E130" i="4"/>
  <c r="D130" i="4"/>
  <c r="C130" i="4"/>
  <c r="B130" i="4"/>
  <c r="W130" i="4" s="1"/>
  <c r="A130" i="4"/>
  <c r="T129" i="4"/>
  <c r="R129" i="4"/>
  <c r="Q129" i="4"/>
  <c r="P129" i="4"/>
  <c r="O129" i="4"/>
  <c r="N129" i="4"/>
  <c r="M129" i="4"/>
  <c r="L129" i="4"/>
  <c r="K129" i="4"/>
  <c r="J129" i="4"/>
  <c r="I129" i="4"/>
  <c r="H129" i="4"/>
  <c r="U129" i="4" s="1"/>
  <c r="G129" i="4"/>
  <c r="F129" i="4"/>
  <c r="E129" i="4"/>
  <c r="D129" i="4"/>
  <c r="C129" i="4"/>
  <c r="B129" i="4"/>
  <c r="W129" i="4" s="1"/>
  <c r="A129" i="4"/>
  <c r="W128" i="4"/>
  <c r="P128" i="4"/>
  <c r="O128" i="4"/>
  <c r="R128" i="4" s="1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R127" i="4"/>
  <c r="Q127" i="4"/>
  <c r="P127" i="4"/>
  <c r="O127" i="4"/>
  <c r="N127" i="4"/>
  <c r="M127" i="4"/>
  <c r="L127" i="4"/>
  <c r="K127" i="4"/>
  <c r="J127" i="4"/>
  <c r="I127" i="4"/>
  <c r="H127" i="4"/>
  <c r="U127" i="4" s="1"/>
  <c r="G127" i="4"/>
  <c r="T127" i="4" s="1"/>
  <c r="F127" i="4"/>
  <c r="E127" i="4"/>
  <c r="D127" i="4"/>
  <c r="C127" i="4"/>
  <c r="B127" i="4"/>
  <c r="W127" i="4" s="1"/>
  <c r="A127" i="4"/>
  <c r="W126" i="4"/>
  <c r="Q126" i="4"/>
  <c r="P126" i="4"/>
  <c r="O126" i="4"/>
  <c r="N126" i="4"/>
  <c r="R126" i="4" s="1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T125" i="4"/>
  <c r="R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5" i="4" s="1"/>
  <c r="A125" i="4"/>
  <c r="W124" i="4"/>
  <c r="P124" i="4"/>
  <c r="O124" i="4"/>
  <c r="R124" i="4" s="1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P123" i="4"/>
  <c r="O123" i="4"/>
  <c r="N123" i="4"/>
  <c r="R123" i="4" s="1"/>
  <c r="M123" i="4"/>
  <c r="L123" i="4"/>
  <c r="K123" i="4"/>
  <c r="U123" i="4" s="1"/>
  <c r="J123" i="4"/>
  <c r="I123" i="4"/>
  <c r="H123" i="4"/>
  <c r="G123" i="4"/>
  <c r="F123" i="4"/>
  <c r="E123" i="4"/>
  <c r="D123" i="4"/>
  <c r="C123" i="4"/>
  <c r="B123" i="4"/>
  <c r="W123" i="4" s="1"/>
  <c r="A123" i="4"/>
  <c r="U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T122" i="4" s="1"/>
  <c r="B122" i="4"/>
  <c r="W122" i="4" s="1"/>
  <c r="A122" i="4"/>
  <c r="W121" i="4"/>
  <c r="P121" i="4"/>
  <c r="O121" i="4"/>
  <c r="N121" i="4"/>
  <c r="R121" i="4" s="1"/>
  <c r="M121" i="4"/>
  <c r="L121" i="4"/>
  <c r="K121" i="4"/>
  <c r="J121" i="4"/>
  <c r="I121" i="4"/>
  <c r="H121" i="4"/>
  <c r="G121" i="4"/>
  <c r="T121" i="4" s="1"/>
  <c r="F121" i="4"/>
  <c r="E121" i="4"/>
  <c r="D121" i="4"/>
  <c r="C121" i="4"/>
  <c r="B121" i="4"/>
  <c r="A121" i="4"/>
  <c r="W120" i="4"/>
  <c r="P120" i="4"/>
  <c r="O120" i="4"/>
  <c r="R120" i="4" s="1"/>
  <c r="N120" i="4"/>
  <c r="M120" i="4"/>
  <c r="L120" i="4"/>
  <c r="K120" i="4"/>
  <c r="J120" i="4"/>
  <c r="I120" i="4"/>
  <c r="H120" i="4"/>
  <c r="U120" i="4" s="1"/>
  <c r="G120" i="4"/>
  <c r="F120" i="4"/>
  <c r="E120" i="4"/>
  <c r="D120" i="4"/>
  <c r="C120" i="4"/>
  <c r="B120" i="4"/>
  <c r="A120" i="4"/>
  <c r="W119" i="4"/>
  <c r="U119" i="4"/>
  <c r="P119" i="4"/>
  <c r="O119" i="4"/>
  <c r="R119" i="4" s="1"/>
  <c r="N119" i="4"/>
  <c r="M119" i="4"/>
  <c r="L119" i="4"/>
  <c r="K119" i="4"/>
  <c r="J119" i="4"/>
  <c r="I119" i="4"/>
  <c r="H119" i="4"/>
  <c r="G119" i="4"/>
  <c r="T119" i="4" s="1"/>
  <c r="F119" i="4"/>
  <c r="E119" i="4"/>
  <c r="D119" i="4"/>
  <c r="C119" i="4"/>
  <c r="B119" i="4"/>
  <c r="A119" i="4"/>
  <c r="U118" i="4"/>
  <c r="Q118" i="4"/>
  <c r="P118" i="4"/>
  <c r="O118" i="4"/>
  <c r="R118" i="4" s="1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W118" i="4" s="1"/>
  <c r="A118" i="4"/>
  <c r="W117" i="4"/>
  <c r="P117" i="4"/>
  <c r="O117" i="4"/>
  <c r="R117" i="4" s="1"/>
  <c r="N117" i="4"/>
  <c r="M117" i="4"/>
  <c r="L117" i="4"/>
  <c r="K117" i="4"/>
  <c r="J117" i="4"/>
  <c r="I117" i="4"/>
  <c r="H117" i="4"/>
  <c r="G117" i="4"/>
  <c r="T117" i="4" s="1"/>
  <c r="F117" i="4"/>
  <c r="E117" i="4"/>
  <c r="D117" i="4"/>
  <c r="C117" i="4"/>
  <c r="B117" i="4"/>
  <c r="A117" i="4"/>
  <c r="W116" i="4"/>
  <c r="Q116" i="4"/>
  <c r="P116" i="4"/>
  <c r="O116" i="4"/>
  <c r="N116" i="4"/>
  <c r="M116" i="4"/>
  <c r="L116" i="4"/>
  <c r="K116" i="4"/>
  <c r="J116" i="4"/>
  <c r="I116" i="4"/>
  <c r="H116" i="4"/>
  <c r="G116" i="4"/>
  <c r="T116" i="4" s="1"/>
  <c r="F116" i="4"/>
  <c r="E116" i="4"/>
  <c r="D116" i="4"/>
  <c r="C116" i="4"/>
  <c r="B116" i="4"/>
  <c r="A116" i="4"/>
  <c r="S116" i="4" s="1"/>
  <c r="T115" i="4"/>
  <c r="R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W115" i="4" s="1"/>
  <c r="A115" i="4"/>
  <c r="R114" i="4"/>
  <c r="P114" i="4"/>
  <c r="O114" i="4"/>
  <c r="N114" i="4"/>
  <c r="M114" i="4"/>
  <c r="L114" i="4"/>
  <c r="K114" i="4"/>
  <c r="J114" i="4"/>
  <c r="I114" i="4"/>
  <c r="Q114" i="4" s="1"/>
  <c r="H114" i="4"/>
  <c r="G114" i="4"/>
  <c r="F114" i="4"/>
  <c r="E114" i="4"/>
  <c r="D114" i="4"/>
  <c r="C114" i="4"/>
  <c r="B114" i="4"/>
  <c r="W114" i="4" s="1"/>
  <c r="A114" i="4"/>
  <c r="T113" i="4"/>
  <c r="P113" i="4"/>
  <c r="O113" i="4"/>
  <c r="R113" i="4" s="1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W113" i="4" s="1"/>
  <c r="A113" i="4"/>
  <c r="W112" i="4"/>
  <c r="P112" i="4"/>
  <c r="O112" i="4"/>
  <c r="R112" i="4" s="1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T111" i="4"/>
  <c r="R111" i="4"/>
  <c r="Q111" i="4"/>
  <c r="P111" i="4"/>
  <c r="O111" i="4"/>
  <c r="N111" i="4"/>
  <c r="M111" i="4"/>
  <c r="L111" i="4"/>
  <c r="K111" i="4"/>
  <c r="J111" i="4"/>
  <c r="I111" i="4"/>
  <c r="H111" i="4"/>
  <c r="U111" i="4" s="1"/>
  <c r="G111" i="4"/>
  <c r="F111" i="4"/>
  <c r="E111" i="4"/>
  <c r="D111" i="4"/>
  <c r="C111" i="4"/>
  <c r="B111" i="4"/>
  <c r="W111" i="4" s="1"/>
  <c r="A111" i="4"/>
  <c r="W110" i="4"/>
  <c r="P110" i="4"/>
  <c r="O110" i="4"/>
  <c r="N110" i="4"/>
  <c r="R110" i="4" s="1"/>
  <c r="M110" i="4"/>
  <c r="L110" i="4"/>
  <c r="K110" i="4"/>
  <c r="J110" i="4"/>
  <c r="I110" i="4"/>
  <c r="H110" i="4"/>
  <c r="G110" i="4"/>
  <c r="T110" i="4" s="1"/>
  <c r="F110" i="4"/>
  <c r="E110" i="4"/>
  <c r="D110" i="4"/>
  <c r="C110" i="4"/>
  <c r="B110" i="4"/>
  <c r="A110" i="4"/>
  <c r="P109" i="4"/>
  <c r="O109" i="4"/>
  <c r="R109" i="4" s="1"/>
  <c r="N109" i="4"/>
  <c r="M109" i="4"/>
  <c r="L109" i="4"/>
  <c r="K109" i="4"/>
  <c r="T109" i="4" s="1"/>
  <c r="J109" i="4"/>
  <c r="I109" i="4"/>
  <c r="H109" i="4"/>
  <c r="G109" i="4"/>
  <c r="F109" i="4"/>
  <c r="E109" i="4"/>
  <c r="D109" i="4"/>
  <c r="C109" i="4"/>
  <c r="B109" i="4"/>
  <c r="W109" i="4" s="1"/>
  <c r="A109" i="4"/>
  <c r="W108" i="4"/>
  <c r="U108" i="4"/>
  <c r="R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T108" i="4" s="1"/>
  <c r="B108" i="4"/>
  <c r="A108" i="4"/>
  <c r="R107" i="4"/>
  <c r="P107" i="4"/>
  <c r="O107" i="4"/>
  <c r="N107" i="4"/>
  <c r="M107" i="4"/>
  <c r="L107" i="4"/>
  <c r="K107" i="4"/>
  <c r="U107" i="4" s="1"/>
  <c r="J107" i="4"/>
  <c r="I107" i="4"/>
  <c r="H107" i="4"/>
  <c r="Q107" i="4" s="1"/>
  <c r="G107" i="4"/>
  <c r="F107" i="4"/>
  <c r="E107" i="4"/>
  <c r="D107" i="4"/>
  <c r="C107" i="4"/>
  <c r="B107" i="4"/>
  <c r="W107" i="4" s="1"/>
  <c r="A107" i="4"/>
  <c r="W106" i="4"/>
  <c r="R106" i="4"/>
  <c r="P106" i="4"/>
  <c r="O106" i="4"/>
  <c r="N106" i="4"/>
  <c r="M106" i="4"/>
  <c r="L106" i="4"/>
  <c r="K106" i="4"/>
  <c r="J106" i="4"/>
  <c r="I106" i="4"/>
  <c r="Q106" i="4" s="1"/>
  <c r="H106" i="4"/>
  <c r="G106" i="4"/>
  <c r="F106" i="4"/>
  <c r="E106" i="4"/>
  <c r="D106" i="4"/>
  <c r="C106" i="4"/>
  <c r="B106" i="4"/>
  <c r="A106" i="4"/>
  <c r="W105" i="4"/>
  <c r="Q105" i="4"/>
  <c r="P105" i="4"/>
  <c r="O105" i="4"/>
  <c r="N105" i="4"/>
  <c r="R105" i="4" s="1"/>
  <c r="M105" i="4"/>
  <c r="L105" i="4"/>
  <c r="K105" i="4"/>
  <c r="J105" i="4"/>
  <c r="I105" i="4"/>
  <c r="H105" i="4"/>
  <c r="G105" i="4"/>
  <c r="F105" i="4"/>
  <c r="E105" i="4"/>
  <c r="D105" i="4"/>
  <c r="C105" i="4"/>
  <c r="T105" i="4" s="1"/>
  <c r="B105" i="4"/>
  <c r="A105" i="4"/>
  <c r="S105" i="4" s="1"/>
  <c r="U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W104" i="4" s="1"/>
  <c r="A104" i="4"/>
  <c r="W103" i="4"/>
  <c r="R103" i="4"/>
  <c r="P103" i="4"/>
  <c r="O103" i="4"/>
  <c r="N103" i="4"/>
  <c r="M103" i="4"/>
  <c r="L103" i="4"/>
  <c r="K103" i="4"/>
  <c r="J103" i="4"/>
  <c r="I103" i="4"/>
  <c r="H103" i="4"/>
  <c r="G103" i="4"/>
  <c r="T103" i="4" s="1"/>
  <c r="F103" i="4"/>
  <c r="E103" i="4"/>
  <c r="D103" i="4"/>
  <c r="C103" i="4"/>
  <c r="B103" i="4"/>
  <c r="A103" i="4"/>
  <c r="P102" i="4"/>
  <c r="O102" i="4"/>
  <c r="R102" i="4" s="1"/>
  <c r="N102" i="4"/>
  <c r="M102" i="4"/>
  <c r="L102" i="4"/>
  <c r="K102" i="4"/>
  <c r="J102" i="4"/>
  <c r="I102" i="4"/>
  <c r="H102" i="4"/>
  <c r="G102" i="4"/>
  <c r="T102" i="4" s="1"/>
  <c r="F102" i="4"/>
  <c r="E102" i="4"/>
  <c r="D102" i="4"/>
  <c r="C102" i="4"/>
  <c r="B102" i="4"/>
  <c r="W102" i="4" s="1"/>
  <c r="A102" i="4"/>
  <c r="W101" i="4"/>
  <c r="U101" i="4"/>
  <c r="T101" i="4"/>
  <c r="P101" i="4"/>
  <c r="O101" i="4"/>
  <c r="R101" i="4" s="1"/>
  <c r="N101" i="4"/>
  <c r="M101" i="4"/>
  <c r="L101" i="4"/>
  <c r="K101" i="4"/>
  <c r="J101" i="4"/>
  <c r="I101" i="4"/>
  <c r="H101" i="4"/>
  <c r="Q101" i="4" s="1"/>
  <c r="G101" i="4"/>
  <c r="F101" i="4"/>
  <c r="E101" i="4"/>
  <c r="D101" i="4"/>
  <c r="C101" i="4"/>
  <c r="B101" i="4"/>
  <c r="A101" i="4"/>
  <c r="W100" i="4"/>
  <c r="Q100" i="4"/>
  <c r="P100" i="4"/>
  <c r="O100" i="4"/>
  <c r="R100" i="4" s="1"/>
  <c r="N100" i="4"/>
  <c r="M100" i="4"/>
  <c r="L100" i="4"/>
  <c r="K100" i="4"/>
  <c r="J100" i="4"/>
  <c r="I100" i="4"/>
  <c r="H100" i="4"/>
  <c r="G100" i="4"/>
  <c r="F100" i="4"/>
  <c r="E100" i="4"/>
  <c r="D100" i="4"/>
  <c r="C100" i="4"/>
  <c r="T100" i="4" s="1"/>
  <c r="B100" i="4"/>
  <c r="A100" i="4"/>
  <c r="R99" i="4"/>
  <c r="Q99" i="4"/>
  <c r="P99" i="4"/>
  <c r="O99" i="4"/>
  <c r="N99" i="4"/>
  <c r="M99" i="4"/>
  <c r="L99" i="4"/>
  <c r="K99" i="4"/>
  <c r="J99" i="4"/>
  <c r="I99" i="4"/>
  <c r="H99" i="4"/>
  <c r="U99" i="4" s="1"/>
  <c r="G99" i="4"/>
  <c r="T99" i="4" s="1"/>
  <c r="F99" i="4"/>
  <c r="E99" i="4"/>
  <c r="D99" i="4"/>
  <c r="C99" i="4"/>
  <c r="B99" i="4"/>
  <c r="W99" i="4" s="1"/>
  <c r="A99" i="4"/>
  <c r="P98" i="4"/>
  <c r="O98" i="4"/>
  <c r="R98" i="4" s="1"/>
  <c r="N98" i="4"/>
  <c r="M98" i="4"/>
  <c r="L98" i="4"/>
  <c r="K98" i="4"/>
  <c r="J98" i="4"/>
  <c r="I98" i="4"/>
  <c r="H98" i="4"/>
  <c r="G98" i="4"/>
  <c r="T98" i="4" s="1"/>
  <c r="F98" i="4"/>
  <c r="E98" i="4"/>
  <c r="D98" i="4"/>
  <c r="C98" i="4"/>
  <c r="B98" i="4"/>
  <c r="W98" i="4" s="1"/>
  <c r="A98" i="4"/>
  <c r="U97" i="4"/>
  <c r="T97" i="4"/>
  <c r="P97" i="4"/>
  <c r="O97" i="4"/>
  <c r="N97" i="4"/>
  <c r="R97" i="4" s="1"/>
  <c r="M97" i="4"/>
  <c r="L97" i="4"/>
  <c r="K97" i="4"/>
  <c r="J97" i="4"/>
  <c r="I97" i="4"/>
  <c r="H97" i="4"/>
  <c r="G97" i="4"/>
  <c r="F97" i="4"/>
  <c r="E97" i="4"/>
  <c r="D97" i="4"/>
  <c r="C97" i="4"/>
  <c r="B97" i="4"/>
  <c r="W97" i="4" s="1"/>
  <c r="A97" i="4"/>
  <c r="U96" i="4"/>
  <c r="T96" i="4"/>
  <c r="P96" i="4"/>
  <c r="O96" i="4"/>
  <c r="R96" i="4" s="1"/>
  <c r="N96" i="4"/>
  <c r="M96" i="4"/>
  <c r="L96" i="4"/>
  <c r="K96" i="4"/>
  <c r="J96" i="4"/>
  <c r="I96" i="4"/>
  <c r="H96" i="4"/>
  <c r="Q96" i="4" s="1"/>
  <c r="G96" i="4"/>
  <c r="F96" i="4"/>
  <c r="E96" i="4"/>
  <c r="D96" i="4"/>
  <c r="C96" i="4"/>
  <c r="B96" i="4"/>
  <c r="W96" i="4" s="1"/>
  <c r="A96" i="4"/>
  <c r="W95" i="4"/>
  <c r="R95" i="4"/>
  <c r="P95" i="4"/>
  <c r="O95" i="4"/>
  <c r="N95" i="4"/>
  <c r="M95" i="4"/>
  <c r="L95" i="4"/>
  <c r="K95" i="4"/>
  <c r="J95" i="4"/>
  <c r="I95" i="4"/>
  <c r="Q95" i="4" s="1"/>
  <c r="H95" i="4"/>
  <c r="U95" i="4" s="1"/>
  <c r="G95" i="4"/>
  <c r="F95" i="4"/>
  <c r="E95" i="4"/>
  <c r="D95" i="4"/>
  <c r="C95" i="4"/>
  <c r="T95" i="4" s="1"/>
  <c r="B95" i="4"/>
  <c r="A95" i="4"/>
  <c r="W94" i="4"/>
  <c r="P94" i="4"/>
  <c r="O94" i="4"/>
  <c r="N94" i="4"/>
  <c r="R94" i="4" s="1"/>
  <c r="M94" i="4"/>
  <c r="L94" i="4"/>
  <c r="K94" i="4"/>
  <c r="J94" i="4"/>
  <c r="I94" i="4"/>
  <c r="H94" i="4"/>
  <c r="G94" i="4"/>
  <c r="T94" i="4" s="1"/>
  <c r="F94" i="4"/>
  <c r="E94" i="4"/>
  <c r="D94" i="4"/>
  <c r="C94" i="4"/>
  <c r="B94" i="4"/>
  <c r="A94" i="4"/>
  <c r="U93" i="4"/>
  <c r="T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W93" i="4" s="1"/>
  <c r="A93" i="4"/>
  <c r="W92" i="4"/>
  <c r="U92" i="4"/>
  <c r="T92" i="4"/>
  <c r="R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R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W91" i="4" s="1"/>
  <c r="A91" i="4"/>
  <c r="R90" i="4"/>
  <c r="P90" i="4"/>
  <c r="O90" i="4"/>
  <c r="N90" i="4"/>
  <c r="M90" i="4"/>
  <c r="L90" i="4"/>
  <c r="K90" i="4"/>
  <c r="J90" i="4"/>
  <c r="I90" i="4"/>
  <c r="Q90" i="4" s="1"/>
  <c r="H90" i="4"/>
  <c r="G90" i="4"/>
  <c r="F90" i="4"/>
  <c r="E90" i="4"/>
  <c r="D90" i="4"/>
  <c r="C90" i="4"/>
  <c r="B90" i="4"/>
  <c r="W90" i="4" s="1"/>
  <c r="A90" i="4"/>
  <c r="W89" i="4"/>
  <c r="P89" i="4"/>
  <c r="O89" i="4"/>
  <c r="N89" i="4"/>
  <c r="R89" i="4" s="1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U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T88" i="4" s="1"/>
  <c r="B88" i="4"/>
  <c r="W88" i="4" s="1"/>
  <c r="A88" i="4"/>
  <c r="W87" i="4"/>
  <c r="U87" i="4"/>
  <c r="R87" i="4"/>
  <c r="P87" i="4"/>
  <c r="O87" i="4"/>
  <c r="N87" i="4"/>
  <c r="M87" i="4"/>
  <c r="L87" i="4"/>
  <c r="K87" i="4"/>
  <c r="J87" i="4"/>
  <c r="I87" i="4"/>
  <c r="H87" i="4"/>
  <c r="Q87" i="4" s="1"/>
  <c r="G87" i="4"/>
  <c r="F87" i="4"/>
  <c r="E87" i="4"/>
  <c r="D87" i="4"/>
  <c r="C87" i="4"/>
  <c r="T87" i="4" s="1"/>
  <c r="B87" i="4"/>
  <c r="A87" i="4"/>
  <c r="P86" i="4"/>
  <c r="O86" i="4"/>
  <c r="R86" i="4" s="1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W86" i="4" s="1"/>
  <c r="A86" i="4"/>
  <c r="W85" i="4"/>
  <c r="T85" i="4"/>
  <c r="Q85" i="4"/>
  <c r="P85" i="4"/>
  <c r="O85" i="4"/>
  <c r="R85" i="4" s="1"/>
  <c r="N85" i="4"/>
  <c r="M85" i="4"/>
  <c r="L85" i="4"/>
  <c r="K85" i="4"/>
  <c r="J85" i="4"/>
  <c r="I85" i="4"/>
  <c r="H85" i="4"/>
  <c r="U85" i="4" s="1"/>
  <c r="G85" i="4"/>
  <c r="F85" i="4"/>
  <c r="E85" i="4"/>
  <c r="D85" i="4"/>
  <c r="C85" i="4"/>
  <c r="B85" i="4"/>
  <c r="A85" i="4"/>
  <c r="W84" i="4"/>
  <c r="P84" i="4"/>
  <c r="O84" i="4"/>
  <c r="R84" i="4" s="1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Q83" i="4"/>
  <c r="P83" i="4"/>
  <c r="O83" i="4"/>
  <c r="R83" i="4" s="1"/>
  <c r="N83" i="4"/>
  <c r="M83" i="4"/>
  <c r="L83" i="4"/>
  <c r="K83" i="4"/>
  <c r="J83" i="4"/>
  <c r="I83" i="4"/>
  <c r="H83" i="4"/>
  <c r="G83" i="4"/>
  <c r="F83" i="4"/>
  <c r="E83" i="4"/>
  <c r="D83" i="4"/>
  <c r="C83" i="4"/>
  <c r="T83" i="4" s="1"/>
  <c r="B83" i="4"/>
  <c r="W83" i="4" s="1"/>
  <c r="A83" i="4"/>
  <c r="W82" i="4"/>
  <c r="T82" i="4"/>
  <c r="R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P81" i="4"/>
  <c r="O81" i="4"/>
  <c r="R81" i="4" s="1"/>
  <c r="N81" i="4"/>
  <c r="M81" i="4"/>
  <c r="L81" i="4"/>
  <c r="K81" i="4"/>
  <c r="T81" i="4" s="1"/>
  <c r="J81" i="4"/>
  <c r="I81" i="4"/>
  <c r="H81" i="4"/>
  <c r="G81" i="4"/>
  <c r="F81" i="4"/>
  <c r="E81" i="4"/>
  <c r="D81" i="4"/>
  <c r="C81" i="4"/>
  <c r="B81" i="4"/>
  <c r="W81" i="4" s="1"/>
  <c r="A81" i="4"/>
  <c r="U80" i="4"/>
  <c r="P80" i="4"/>
  <c r="O80" i="4"/>
  <c r="R80" i="4" s="1"/>
  <c r="N80" i="4"/>
  <c r="M80" i="4"/>
  <c r="L80" i="4"/>
  <c r="K80" i="4"/>
  <c r="J80" i="4"/>
  <c r="I80" i="4"/>
  <c r="H80" i="4"/>
  <c r="G80" i="4"/>
  <c r="F80" i="4"/>
  <c r="E80" i="4"/>
  <c r="D80" i="4"/>
  <c r="C80" i="4"/>
  <c r="T80" i="4" s="1"/>
  <c r="B80" i="4"/>
  <c r="W80" i="4" s="1"/>
  <c r="A80" i="4"/>
  <c r="W79" i="4"/>
  <c r="R79" i="4"/>
  <c r="P79" i="4"/>
  <c r="O79" i="4"/>
  <c r="N79" i="4"/>
  <c r="M79" i="4"/>
  <c r="L79" i="4"/>
  <c r="K79" i="4"/>
  <c r="J79" i="4"/>
  <c r="I79" i="4"/>
  <c r="Q79" i="4" s="1"/>
  <c r="H79" i="4"/>
  <c r="G79" i="4"/>
  <c r="F79" i="4"/>
  <c r="E79" i="4"/>
  <c r="D79" i="4"/>
  <c r="C79" i="4"/>
  <c r="T79" i="4" s="1"/>
  <c r="B79" i="4"/>
  <c r="A79" i="4"/>
  <c r="R78" i="4"/>
  <c r="P78" i="4"/>
  <c r="O78" i="4"/>
  <c r="N78" i="4"/>
  <c r="M78" i="4"/>
  <c r="L78" i="4"/>
  <c r="K78" i="4"/>
  <c r="J78" i="4"/>
  <c r="I78" i="4"/>
  <c r="Q78" i="4" s="1"/>
  <c r="H78" i="4"/>
  <c r="U78" i="4" s="1"/>
  <c r="G78" i="4"/>
  <c r="F78" i="4"/>
  <c r="E78" i="4"/>
  <c r="D78" i="4"/>
  <c r="C78" i="4"/>
  <c r="B78" i="4"/>
  <c r="W78" i="4" s="1"/>
  <c r="A78" i="4"/>
  <c r="P77" i="4"/>
  <c r="O77" i="4"/>
  <c r="N77" i="4"/>
  <c r="R77" i="4" s="1"/>
  <c r="M77" i="4"/>
  <c r="L77" i="4"/>
  <c r="K77" i="4"/>
  <c r="J77" i="4"/>
  <c r="I77" i="4"/>
  <c r="H77" i="4"/>
  <c r="G77" i="4"/>
  <c r="T77" i="4" s="1"/>
  <c r="F77" i="4"/>
  <c r="E77" i="4"/>
  <c r="D77" i="4"/>
  <c r="C77" i="4"/>
  <c r="B77" i="4"/>
  <c r="W77" i="4" s="1"/>
  <c r="A77" i="4"/>
  <c r="W76" i="4"/>
  <c r="P76" i="4"/>
  <c r="O76" i="4"/>
  <c r="N76" i="4"/>
  <c r="M76" i="4"/>
  <c r="L76" i="4"/>
  <c r="K76" i="4"/>
  <c r="U76" i="4" s="1"/>
  <c r="J76" i="4"/>
  <c r="I76" i="4"/>
  <c r="H76" i="4"/>
  <c r="G76" i="4"/>
  <c r="F76" i="4"/>
  <c r="E76" i="4"/>
  <c r="D76" i="4"/>
  <c r="C76" i="4"/>
  <c r="B76" i="4"/>
  <c r="A76" i="4"/>
  <c r="U75" i="4"/>
  <c r="P75" i="4"/>
  <c r="O75" i="4"/>
  <c r="N75" i="4"/>
  <c r="M75" i="4"/>
  <c r="L75" i="4"/>
  <c r="K75" i="4"/>
  <c r="J75" i="4"/>
  <c r="I75" i="4"/>
  <c r="H75" i="4"/>
  <c r="Q75" i="4" s="1"/>
  <c r="G75" i="4"/>
  <c r="F75" i="4"/>
  <c r="E75" i="4"/>
  <c r="D75" i="4"/>
  <c r="C75" i="4"/>
  <c r="B75" i="4"/>
  <c r="W75" i="4" s="1"/>
  <c r="A75" i="4"/>
  <c r="W74" i="4"/>
  <c r="R74" i="4"/>
  <c r="P74" i="4"/>
  <c r="O74" i="4"/>
  <c r="N74" i="4"/>
  <c r="M74" i="4"/>
  <c r="L74" i="4"/>
  <c r="K74" i="4"/>
  <c r="J74" i="4"/>
  <c r="I74" i="4"/>
  <c r="Q74" i="4" s="1"/>
  <c r="H74" i="4"/>
  <c r="G74" i="4"/>
  <c r="U74" i="4" s="1"/>
  <c r="F74" i="4"/>
  <c r="E74" i="4"/>
  <c r="D74" i="4"/>
  <c r="C74" i="4"/>
  <c r="T74" i="4" s="1"/>
  <c r="B74" i="4"/>
  <c r="A74" i="4"/>
  <c r="R73" i="4"/>
  <c r="P73" i="4"/>
  <c r="O73" i="4"/>
  <c r="N73" i="4"/>
  <c r="M73" i="4"/>
  <c r="L73" i="4"/>
  <c r="K73" i="4"/>
  <c r="J73" i="4"/>
  <c r="I73" i="4"/>
  <c r="H73" i="4"/>
  <c r="G73" i="4"/>
  <c r="T73" i="4" s="1"/>
  <c r="F73" i="4"/>
  <c r="E73" i="4"/>
  <c r="D73" i="4"/>
  <c r="C73" i="4"/>
  <c r="B73" i="4"/>
  <c r="W73" i="4" s="1"/>
  <c r="A73" i="4"/>
  <c r="Q72" i="4"/>
  <c r="P72" i="4"/>
  <c r="O72" i="4"/>
  <c r="N72" i="4"/>
  <c r="M72" i="4"/>
  <c r="L72" i="4"/>
  <c r="K72" i="4"/>
  <c r="J72" i="4"/>
  <c r="I72" i="4"/>
  <c r="H72" i="4"/>
  <c r="G72" i="4"/>
  <c r="T72" i="4" s="1"/>
  <c r="F72" i="4"/>
  <c r="E72" i="4"/>
  <c r="D72" i="4"/>
  <c r="C72" i="4"/>
  <c r="B72" i="4"/>
  <c r="W72" i="4" s="1"/>
  <c r="A72" i="4"/>
  <c r="W71" i="4"/>
  <c r="U71" i="4"/>
  <c r="P71" i="4"/>
  <c r="O71" i="4"/>
  <c r="N71" i="4"/>
  <c r="M71" i="4"/>
  <c r="L71" i="4"/>
  <c r="K71" i="4"/>
  <c r="J71" i="4"/>
  <c r="I71" i="4"/>
  <c r="H71" i="4"/>
  <c r="Q71" i="4" s="1"/>
  <c r="G71" i="4"/>
  <c r="T71" i="4" s="1"/>
  <c r="F71" i="4"/>
  <c r="E71" i="4"/>
  <c r="D71" i="4"/>
  <c r="C71" i="4"/>
  <c r="B71" i="4"/>
  <c r="A71" i="4"/>
  <c r="U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W70" i="4" s="1"/>
  <c r="A70" i="4"/>
  <c r="S70" i="4" s="1"/>
  <c r="R69" i="4"/>
  <c r="P69" i="4"/>
  <c r="O69" i="4"/>
  <c r="N69" i="4"/>
  <c r="M69" i="4"/>
  <c r="L69" i="4"/>
  <c r="K69" i="4"/>
  <c r="J69" i="4"/>
  <c r="I69" i="4"/>
  <c r="H69" i="4"/>
  <c r="G69" i="4"/>
  <c r="T69" i="4" s="1"/>
  <c r="F69" i="4"/>
  <c r="E69" i="4"/>
  <c r="D69" i="4"/>
  <c r="C69" i="4"/>
  <c r="B69" i="4"/>
  <c r="W69" i="4" s="1"/>
  <c r="A69" i="4"/>
  <c r="W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U67" i="4"/>
  <c r="T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W67" i="4" s="1"/>
  <c r="A67" i="4"/>
  <c r="S67" i="4" s="1"/>
  <c r="V67" i="4" s="1"/>
  <c r="W66" i="4"/>
  <c r="P66" i="4"/>
  <c r="O66" i="4"/>
  <c r="N66" i="4"/>
  <c r="M66" i="4"/>
  <c r="L66" i="4"/>
  <c r="K66" i="4"/>
  <c r="J66" i="4"/>
  <c r="I66" i="4"/>
  <c r="H66" i="4"/>
  <c r="G66" i="4"/>
  <c r="T66" i="4" s="1"/>
  <c r="F66" i="4"/>
  <c r="E66" i="4"/>
  <c r="D66" i="4"/>
  <c r="C66" i="4"/>
  <c r="B66" i="4"/>
  <c r="A66" i="4"/>
  <c r="U65" i="4"/>
  <c r="T65" i="4"/>
  <c r="Q65" i="4"/>
  <c r="P65" i="4"/>
  <c r="O65" i="4"/>
  <c r="R65" i="4" s="1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W65" i="4" s="1"/>
  <c r="A65" i="4"/>
  <c r="W64" i="4"/>
  <c r="U64" i="4"/>
  <c r="R64" i="4"/>
  <c r="P64" i="4"/>
  <c r="O64" i="4"/>
  <c r="N64" i="4"/>
  <c r="M64" i="4"/>
  <c r="L64" i="4"/>
  <c r="K64" i="4"/>
  <c r="J64" i="4"/>
  <c r="I64" i="4"/>
  <c r="H64" i="4"/>
  <c r="Q64" i="4" s="1"/>
  <c r="G64" i="4"/>
  <c r="F64" i="4"/>
  <c r="E64" i="4"/>
  <c r="D64" i="4"/>
  <c r="C64" i="4"/>
  <c r="T64" i="4" s="1"/>
  <c r="B64" i="4"/>
  <c r="A64" i="4"/>
  <c r="T63" i="4"/>
  <c r="R63" i="4"/>
  <c r="Q63" i="4"/>
  <c r="P63" i="4"/>
  <c r="O63" i="4"/>
  <c r="N63" i="4"/>
  <c r="M63" i="4"/>
  <c r="L63" i="4"/>
  <c r="K63" i="4"/>
  <c r="J63" i="4"/>
  <c r="I63" i="4"/>
  <c r="H63" i="4"/>
  <c r="U63" i="4" s="1"/>
  <c r="G63" i="4"/>
  <c r="F63" i="4"/>
  <c r="E63" i="4"/>
  <c r="D63" i="4"/>
  <c r="C63" i="4"/>
  <c r="B63" i="4"/>
  <c r="W63" i="4" s="1"/>
  <c r="A63" i="4"/>
  <c r="W62" i="4"/>
  <c r="R62" i="4"/>
  <c r="P62" i="4"/>
  <c r="O62" i="4"/>
  <c r="N62" i="4"/>
  <c r="M62" i="4"/>
  <c r="L62" i="4"/>
  <c r="K62" i="4"/>
  <c r="J62" i="4"/>
  <c r="I62" i="4"/>
  <c r="Q62" i="4" s="1"/>
  <c r="H62" i="4"/>
  <c r="G62" i="4"/>
  <c r="F62" i="4"/>
  <c r="E62" i="4"/>
  <c r="D62" i="4"/>
  <c r="C62" i="4"/>
  <c r="B62" i="4"/>
  <c r="A62" i="4"/>
  <c r="Q61" i="4"/>
  <c r="P61" i="4"/>
  <c r="O61" i="4"/>
  <c r="N61" i="4"/>
  <c r="R61" i="4" s="1"/>
  <c r="M61" i="4"/>
  <c r="L61" i="4"/>
  <c r="K61" i="4"/>
  <c r="J61" i="4"/>
  <c r="I61" i="4"/>
  <c r="H61" i="4"/>
  <c r="G61" i="4"/>
  <c r="F61" i="4"/>
  <c r="E61" i="4"/>
  <c r="D61" i="4"/>
  <c r="C61" i="4"/>
  <c r="B61" i="4"/>
  <c r="W61" i="4" s="1"/>
  <c r="A61" i="4"/>
  <c r="U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T60" i="4" s="1"/>
  <c r="B60" i="4"/>
  <c r="W60" i="4" s="1"/>
  <c r="A60" i="4"/>
  <c r="S60" i="4" s="1"/>
  <c r="W59" i="4"/>
  <c r="P59" i="4"/>
  <c r="O59" i="4"/>
  <c r="N59" i="4"/>
  <c r="M59" i="4"/>
  <c r="L59" i="4"/>
  <c r="K59" i="4"/>
  <c r="J59" i="4"/>
  <c r="I59" i="4"/>
  <c r="H59" i="4"/>
  <c r="G59" i="4"/>
  <c r="T59" i="4" s="1"/>
  <c r="F59" i="4"/>
  <c r="E59" i="4"/>
  <c r="D59" i="4"/>
  <c r="C59" i="4"/>
  <c r="B59" i="4"/>
  <c r="A59" i="4"/>
  <c r="Q58" i="4"/>
  <c r="P58" i="4"/>
  <c r="O58" i="4"/>
  <c r="R58" i="4" s="1"/>
  <c r="N58" i="4"/>
  <c r="M58" i="4"/>
  <c r="L58" i="4"/>
  <c r="K58" i="4"/>
  <c r="J58" i="4"/>
  <c r="I58" i="4"/>
  <c r="H58" i="4"/>
  <c r="G58" i="4"/>
  <c r="T58" i="4" s="1"/>
  <c r="F58" i="4"/>
  <c r="E58" i="4"/>
  <c r="D58" i="4"/>
  <c r="C58" i="4"/>
  <c r="B58" i="4"/>
  <c r="W58" i="4" s="1"/>
  <c r="A58" i="4"/>
  <c r="W57" i="4"/>
  <c r="U57" i="4"/>
  <c r="T57" i="4"/>
  <c r="P57" i="4"/>
  <c r="O57" i="4"/>
  <c r="N57" i="4"/>
  <c r="R57" i="4" s="1"/>
  <c r="M57" i="4"/>
  <c r="L57" i="4"/>
  <c r="K57" i="4"/>
  <c r="J57" i="4"/>
  <c r="I57" i="4"/>
  <c r="H57" i="4"/>
  <c r="Q57" i="4" s="1"/>
  <c r="G57" i="4"/>
  <c r="F57" i="4"/>
  <c r="E57" i="4"/>
  <c r="D57" i="4"/>
  <c r="C57" i="4"/>
  <c r="B57" i="4"/>
  <c r="A57" i="4"/>
  <c r="U56" i="4"/>
  <c r="Q56" i="4"/>
  <c r="P56" i="4"/>
  <c r="O56" i="4"/>
  <c r="R56" i="4" s="1"/>
  <c r="N56" i="4"/>
  <c r="M56" i="4"/>
  <c r="L56" i="4"/>
  <c r="K56" i="4"/>
  <c r="J56" i="4"/>
  <c r="I56" i="4"/>
  <c r="H56" i="4"/>
  <c r="G56" i="4"/>
  <c r="F56" i="4"/>
  <c r="E56" i="4"/>
  <c r="D56" i="4"/>
  <c r="C56" i="4"/>
  <c r="T56" i="4" s="1"/>
  <c r="B56" i="4"/>
  <c r="W56" i="4" s="1"/>
  <c r="A56" i="4"/>
  <c r="S56" i="4" s="1"/>
  <c r="W55" i="4"/>
  <c r="R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I54" i="4"/>
  <c r="Q54" i="4" s="1"/>
  <c r="H54" i="4"/>
  <c r="G54" i="4"/>
  <c r="F54" i="4"/>
  <c r="E54" i="4"/>
  <c r="D54" i="4"/>
  <c r="C54" i="4"/>
  <c r="B54" i="4"/>
  <c r="W54" i="4" s="1"/>
  <c r="A54" i="4"/>
  <c r="U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T53" i="4" s="1"/>
  <c r="B53" i="4"/>
  <c r="W53" i="4" s="1"/>
  <c r="A53" i="4"/>
  <c r="S79" i="4" s="1"/>
  <c r="W52" i="4"/>
  <c r="Q52" i="4"/>
  <c r="P52" i="4"/>
  <c r="O52" i="4"/>
  <c r="R52" i="4" s="1"/>
  <c r="N52" i="4"/>
  <c r="M52" i="4"/>
  <c r="L52" i="4"/>
  <c r="K52" i="4"/>
  <c r="J52" i="4"/>
  <c r="I52" i="4"/>
  <c r="H52" i="4"/>
  <c r="U52" i="4" s="1"/>
  <c r="G52" i="4"/>
  <c r="T52" i="4" s="1"/>
  <c r="F52" i="4"/>
  <c r="E52" i="4"/>
  <c r="D52" i="4"/>
  <c r="C52" i="4"/>
  <c r="B52" i="4"/>
  <c r="A52" i="4"/>
  <c r="W51" i="4"/>
  <c r="P51" i="4"/>
  <c r="O51" i="4"/>
  <c r="R51" i="4" s="1"/>
  <c r="N51" i="4"/>
  <c r="M51" i="4"/>
  <c r="L51" i="4"/>
  <c r="K51" i="4"/>
  <c r="J51" i="4"/>
  <c r="I51" i="4"/>
  <c r="H51" i="4"/>
  <c r="G51" i="4"/>
  <c r="T51" i="4" s="1"/>
  <c r="F51" i="4"/>
  <c r="E51" i="4"/>
  <c r="D51" i="4"/>
  <c r="C51" i="4"/>
  <c r="B51" i="4"/>
  <c r="A51" i="4"/>
  <c r="W50" i="4"/>
  <c r="P50" i="4"/>
  <c r="O50" i="4"/>
  <c r="N50" i="4"/>
  <c r="M50" i="4"/>
  <c r="L50" i="4"/>
  <c r="K50" i="4"/>
  <c r="U50" i="4" s="1"/>
  <c r="J50" i="4"/>
  <c r="I50" i="4"/>
  <c r="H50" i="4"/>
  <c r="G50" i="4"/>
  <c r="F50" i="4"/>
  <c r="E50" i="4"/>
  <c r="D50" i="4"/>
  <c r="C50" i="4"/>
  <c r="B50" i="4"/>
  <c r="A50" i="4"/>
  <c r="U49" i="4"/>
  <c r="T49" i="4"/>
  <c r="Q49" i="4"/>
  <c r="P49" i="4"/>
  <c r="O49" i="4"/>
  <c r="R49" i="4" s="1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9" i="4" s="1"/>
  <c r="A49" i="4"/>
  <c r="W48" i="4"/>
  <c r="R48" i="4"/>
  <c r="P48" i="4"/>
  <c r="O48" i="4"/>
  <c r="N48" i="4"/>
  <c r="M48" i="4"/>
  <c r="L48" i="4"/>
  <c r="K48" i="4"/>
  <c r="J48" i="4"/>
  <c r="I48" i="4"/>
  <c r="H48" i="4"/>
  <c r="G48" i="4"/>
  <c r="T48" i="4" s="1"/>
  <c r="F48" i="4"/>
  <c r="E48" i="4"/>
  <c r="D48" i="4"/>
  <c r="C48" i="4"/>
  <c r="B48" i="4"/>
  <c r="A48" i="4"/>
  <c r="Q47" i="4"/>
  <c r="P47" i="4"/>
  <c r="O47" i="4"/>
  <c r="N47" i="4"/>
  <c r="M47" i="4"/>
  <c r="L47" i="4"/>
  <c r="K47" i="4"/>
  <c r="T47" i="4" s="1"/>
  <c r="J47" i="4"/>
  <c r="I47" i="4"/>
  <c r="H47" i="4"/>
  <c r="G47" i="4"/>
  <c r="F47" i="4"/>
  <c r="E47" i="4"/>
  <c r="D47" i="4"/>
  <c r="C47" i="4"/>
  <c r="B47" i="4"/>
  <c r="W47" i="4" s="1"/>
  <c r="A47" i="4"/>
  <c r="U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T46" i="4" s="1"/>
  <c r="B46" i="4"/>
  <c r="W46" i="4" s="1"/>
  <c r="A46" i="4"/>
  <c r="R45" i="4"/>
  <c r="P45" i="4"/>
  <c r="O45" i="4"/>
  <c r="N45" i="4"/>
  <c r="M45" i="4"/>
  <c r="L45" i="4"/>
  <c r="K45" i="4"/>
  <c r="J45" i="4"/>
  <c r="I45" i="4"/>
  <c r="H45" i="4"/>
  <c r="U45" i="4" s="1"/>
  <c r="G45" i="4"/>
  <c r="T45" i="4" s="1"/>
  <c r="F45" i="4"/>
  <c r="E45" i="4"/>
  <c r="D45" i="4"/>
  <c r="C45" i="4"/>
  <c r="B45" i="4"/>
  <c r="W45" i="4" s="1"/>
  <c r="A45" i="4"/>
  <c r="P44" i="4"/>
  <c r="O44" i="4"/>
  <c r="R44" i="4" s="1"/>
  <c r="N44" i="4"/>
  <c r="M44" i="4"/>
  <c r="L44" i="4"/>
  <c r="K44" i="4"/>
  <c r="J44" i="4"/>
  <c r="I44" i="4"/>
  <c r="H44" i="4"/>
  <c r="G44" i="4"/>
  <c r="T44" i="4" s="1"/>
  <c r="F44" i="4"/>
  <c r="E44" i="4"/>
  <c r="D44" i="4"/>
  <c r="C44" i="4"/>
  <c r="B44" i="4"/>
  <c r="W44" i="4" s="1"/>
  <c r="A44" i="4"/>
  <c r="W43" i="4"/>
  <c r="P43" i="4"/>
  <c r="O43" i="4"/>
  <c r="R43" i="4" s="1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U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W42" i="4" s="1"/>
  <c r="A42" i="4"/>
  <c r="S42" i="4" s="1"/>
  <c r="W41" i="4"/>
  <c r="P41" i="4"/>
  <c r="O41" i="4"/>
  <c r="N41" i="4"/>
  <c r="R41" i="4" s="1"/>
  <c r="M41" i="4"/>
  <c r="L41" i="4"/>
  <c r="K41" i="4"/>
  <c r="J41" i="4"/>
  <c r="I41" i="4"/>
  <c r="H41" i="4"/>
  <c r="G41" i="4"/>
  <c r="T41" i="4" s="1"/>
  <c r="F41" i="4"/>
  <c r="E41" i="4"/>
  <c r="D41" i="4"/>
  <c r="C41" i="4"/>
  <c r="B41" i="4"/>
  <c r="A41" i="4"/>
  <c r="Q40" i="4"/>
  <c r="P40" i="4"/>
  <c r="O40" i="4"/>
  <c r="R40" i="4" s="1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40" i="4" s="1"/>
  <c r="A40" i="4"/>
  <c r="U39" i="4"/>
  <c r="R39" i="4"/>
  <c r="P39" i="4"/>
  <c r="O39" i="4"/>
  <c r="N39" i="4"/>
  <c r="M39" i="4"/>
  <c r="L39" i="4"/>
  <c r="K39" i="4"/>
  <c r="J39" i="4"/>
  <c r="I39" i="4"/>
  <c r="H39" i="4"/>
  <c r="Q39" i="4" s="1"/>
  <c r="G39" i="4"/>
  <c r="F39" i="4"/>
  <c r="E39" i="4"/>
  <c r="D39" i="4"/>
  <c r="C39" i="4"/>
  <c r="T39" i="4" s="1"/>
  <c r="B39" i="4"/>
  <c r="W39" i="4" s="1"/>
  <c r="A39" i="4"/>
  <c r="S38" i="4"/>
  <c r="R38" i="4"/>
  <c r="Q38" i="4"/>
  <c r="P38" i="4"/>
  <c r="O38" i="4"/>
  <c r="N38" i="4"/>
  <c r="M38" i="4"/>
  <c r="L38" i="4"/>
  <c r="K38" i="4"/>
  <c r="J38" i="4"/>
  <c r="I38" i="4"/>
  <c r="H38" i="4"/>
  <c r="U38" i="4" s="1"/>
  <c r="G38" i="4"/>
  <c r="F38" i="4"/>
  <c r="E38" i="4"/>
  <c r="D38" i="4"/>
  <c r="C38" i="4"/>
  <c r="B38" i="4"/>
  <c r="W38" i="4" s="1"/>
  <c r="A38" i="4"/>
  <c r="R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T37" i="4" s="1"/>
  <c r="B37" i="4"/>
  <c r="W37" i="4" s="1"/>
  <c r="A37" i="4"/>
  <c r="W36" i="4"/>
  <c r="P36" i="4"/>
  <c r="O36" i="4"/>
  <c r="R36" i="4" s="1"/>
  <c r="N36" i="4"/>
  <c r="M36" i="4"/>
  <c r="L36" i="4"/>
  <c r="K36" i="4"/>
  <c r="J36" i="4"/>
  <c r="I36" i="4"/>
  <c r="Q36" i="4" s="1"/>
  <c r="H36" i="4"/>
  <c r="G36" i="4"/>
  <c r="F36" i="4"/>
  <c r="E36" i="4"/>
  <c r="D36" i="4"/>
  <c r="C36" i="4"/>
  <c r="B36" i="4"/>
  <c r="A36" i="4"/>
  <c r="T35" i="4"/>
  <c r="Q35" i="4"/>
  <c r="P35" i="4"/>
  <c r="O35" i="4"/>
  <c r="R35" i="4" s="1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5" i="4" s="1"/>
  <c r="A35" i="4"/>
  <c r="W34" i="4"/>
  <c r="P34" i="4"/>
  <c r="O34" i="4"/>
  <c r="N34" i="4"/>
  <c r="M34" i="4"/>
  <c r="L34" i="4"/>
  <c r="K34" i="4"/>
  <c r="J34" i="4"/>
  <c r="I34" i="4"/>
  <c r="H34" i="4"/>
  <c r="G34" i="4"/>
  <c r="T34" i="4" s="1"/>
  <c r="F34" i="4"/>
  <c r="E34" i="4"/>
  <c r="D34" i="4"/>
  <c r="C34" i="4"/>
  <c r="B34" i="4"/>
  <c r="A34" i="4"/>
  <c r="U33" i="4"/>
  <c r="T33" i="4"/>
  <c r="Q33" i="4"/>
  <c r="P33" i="4"/>
  <c r="O33" i="4"/>
  <c r="R33" i="4" s="1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W33" i="4" s="1"/>
  <c r="A33" i="4"/>
  <c r="W32" i="4"/>
  <c r="U32" i="4"/>
  <c r="S32" i="4"/>
  <c r="V32" i="4" s="1"/>
  <c r="R32" i="4"/>
  <c r="P32" i="4"/>
  <c r="O32" i="4"/>
  <c r="N32" i="4"/>
  <c r="M32" i="4"/>
  <c r="L32" i="4"/>
  <c r="K32" i="4"/>
  <c r="J32" i="4"/>
  <c r="I32" i="4"/>
  <c r="H32" i="4"/>
  <c r="Q32" i="4" s="1"/>
  <c r="G32" i="4"/>
  <c r="F32" i="4"/>
  <c r="E32" i="4"/>
  <c r="D32" i="4"/>
  <c r="C32" i="4"/>
  <c r="T32" i="4" s="1"/>
  <c r="B32" i="4"/>
  <c r="A32" i="4"/>
  <c r="T31" i="4"/>
  <c r="R31" i="4"/>
  <c r="Q31" i="4"/>
  <c r="P31" i="4"/>
  <c r="O31" i="4"/>
  <c r="N31" i="4"/>
  <c r="M31" i="4"/>
  <c r="L31" i="4"/>
  <c r="K31" i="4"/>
  <c r="J31" i="4"/>
  <c r="I31" i="4"/>
  <c r="H31" i="4"/>
  <c r="U31" i="4" s="1"/>
  <c r="G31" i="4"/>
  <c r="F31" i="4"/>
  <c r="E31" i="4"/>
  <c r="D31" i="4"/>
  <c r="C31" i="4"/>
  <c r="B31" i="4"/>
  <c r="W31" i="4" s="1"/>
  <c r="A31" i="4"/>
  <c r="W30" i="4"/>
  <c r="R30" i="4"/>
  <c r="P30" i="4"/>
  <c r="O30" i="4"/>
  <c r="N30" i="4"/>
  <c r="M30" i="4"/>
  <c r="L30" i="4"/>
  <c r="K30" i="4"/>
  <c r="J30" i="4"/>
  <c r="I30" i="4"/>
  <c r="Q30" i="4" s="1"/>
  <c r="H30" i="4"/>
  <c r="G30" i="4"/>
  <c r="U30" i="4" s="1"/>
  <c r="F30" i="4"/>
  <c r="E30" i="4"/>
  <c r="D30" i="4"/>
  <c r="C30" i="4"/>
  <c r="B30" i="4"/>
  <c r="A30" i="4"/>
  <c r="Q29" i="4"/>
  <c r="P29" i="4"/>
  <c r="O29" i="4"/>
  <c r="N29" i="4"/>
  <c r="R29" i="4" s="1"/>
  <c r="M29" i="4"/>
  <c r="L29" i="4"/>
  <c r="K29" i="4"/>
  <c r="J29" i="4"/>
  <c r="I29" i="4"/>
  <c r="H29" i="4"/>
  <c r="G29" i="4"/>
  <c r="F29" i="4"/>
  <c r="E29" i="4"/>
  <c r="D29" i="4"/>
  <c r="C29" i="4"/>
  <c r="B29" i="4"/>
  <c r="W29" i="4" s="1"/>
  <c r="A29" i="4"/>
  <c r="U28" i="4"/>
  <c r="T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W28" i="4" s="1"/>
  <c r="A28" i="4"/>
  <c r="S28" i="4" s="1"/>
  <c r="V28" i="4" s="1"/>
  <c r="W27" i="4"/>
  <c r="P27" i="4"/>
  <c r="O27" i="4"/>
  <c r="N27" i="4"/>
  <c r="M27" i="4"/>
  <c r="L27" i="4"/>
  <c r="K27" i="4"/>
  <c r="J27" i="4"/>
  <c r="I27" i="4"/>
  <c r="H27" i="4"/>
  <c r="G27" i="4"/>
  <c r="T27" i="4" s="1"/>
  <c r="F27" i="4"/>
  <c r="E27" i="4"/>
  <c r="D27" i="4"/>
  <c r="C27" i="4"/>
  <c r="B27" i="4"/>
  <c r="A27" i="4"/>
  <c r="Q26" i="4"/>
  <c r="P26" i="4"/>
  <c r="O26" i="4"/>
  <c r="R26" i="4" s="1"/>
  <c r="N26" i="4"/>
  <c r="M26" i="4"/>
  <c r="L26" i="4"/>
  <c r="K26" i="4"/>
  <c r="J26" i="4"/>
  <c r="I26" i="4"/>
  <c r="H26" i="4"/>
  <c r="G26" i="4"/>
  <c r="T26" i="4" s="1"/>
  <c r="F26" i="4"/>
  <c r="E26" i="4"/>
  <c r="D26" i="4"/>
  <c r="C26" i="4"/>
  <c r="B26" i="4"/>
  <c r="W26" i="4" s="1"/>
  <c r="A26" i="4"/>
  <c r="W25" i="4"/>
  <c r="U25" i="4"/>
  <c r="T25" i="4"/>
  <c r="P25" i="4"/>
  <c r="O25" i="4"/>
  <c r="N25" i="4"/>
  <c r="R25" i="4" s="1"/>
  <c r="M25" i="4"/>
  <c r="L25" i="4"/>
  <c r="K25" i="4"/>
  <c r="J25" i="4"/>
  <c r="I25" i="4"/>
  <c r="H25" i="4"/>
  <c r="Q25" i="4" s="1"/>
  <c r="G25" i="4"/>
  <c r="F25" i="4"/>
  <c r="E25" i="4"/>
  <c r="D25" i="4"/>
  <c r="C25" i="4"/>
  <c r="B25" i="4"/>
  <c r="A25" i="4"/>
  <c r="U24" i="4"/>
  <c r="Q24" i="4"/>
  <c r="P24" i="4"/>
  <c r="O24" i="4"/>
  <c r="R24" i="4" s="1"/>
  <c r="N24" i="4"/>
  <c r="M24" i="4"/>
  <c r="L24" i="4"/>
  <c r="K24" i="4"/>
  <c r="J24" i="4"/>
  <c r="I24" i="4"/>
  <c r="H24" i="4"/>
  <c r="G24" i="4"/>
  <c r="F24" i="4"/>
  <c r="E24" i="4"/>
  <c r="D24" i="4"/>
  <c r="C24" i="4"/>
  <c r="T24" i="4" s="1"/>
  <c r="B24" i="4"/>
  <c r="W24" i="4" s="1"/>
  <c r="A24" i="4"/>
  <c r="W23" i="4"/>
  <c r="R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P22" i="4"/>
  <c r="O22" i="4"/>
  <c r="R22" i="4" s="1"/>
  <c r="N22" i="4"/>
  <c r="M22" i="4"/>
  <c r="L22" i="4"/>
  <c r="K22" i="4"/>
  <c r="J22" i="4"/>
  <c r="I22" i="4"/>
  <c r="Q22" i="4" s="1"/>
  <c r="H22" i="4"/>
  <c r="G22" i="4"/>
  <c r="F22" i="4"/>
  <c r="E22" i="4"/>
  <c r="D22" i="4"/>
  <c r="C22" i="4"/>
  <c r="B22" i="4"/>
  <c r="W22" i="4" s="1"/>
  <c r="A22" i="4"/>
  <c r="U21" i="4"/>
  <c r="T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1" i="4" s="1"/>
  <c r="A21" i="4"/>
  <c r="S21" i="4" s="1"/>
  <c r="V21" i="4" s="1"/>
  <c r="W20" i="4"/>
  <c r="Q20" i="4"/>
  <c r="P20" i="4"/>
  <c r="O20" i="4"/>
  <c r="R20" i="4" s="1"/>
  <c r="N20" i="4"/>
  <c r="M20" i="4"/>
  <c r="L20" i="4"/>
  <c r="K20" i="4"/>
  <c r="J20" i="4"/>
  <c r="I20" i="4"/>
  <c r="H20" i="4"/>
  <c r="U20" i="4" s="1"/>
  <c r="G20" i="4"/>
  <c r="T20" i="4" s="1"/>
  <c r="F20" i="4"/>
  <c r="E20" i="4"/>
  <c r="D20" i="4"/>
  <c r="C20" i="4"/>
  <c r="B20" i="4"/>
  <c r="A20" i="4"/>
  <c r="S20" i="4" s="1"/>
  <c r="V20" i="4" s="1"/>
  <c r="W19" i="4"/>
  <c r="P19" i="4"/>
  <c r="O19" i="4"/>
  <c r="R19" i="4" s="1"/>
  <c r="N19" i="4"/>
  <c r="M19" i="4"/>
  <c r="L19" i="4"/>
  <c r="K19" i="4"/>
  <c r="J19" i="4"/>
  <c r="I19" i="4"/>
  <c r="H19" i="4"/>
  <c r="G19" i="4"/>
  <c r="T19" i="4" s="1"/>
  <c r="F19" i="4"/>
  <c r="E19" i="4"/>
  <c r="D19" i="4"/>
  <c r="C19" i="4"/>
  <c r="B19" i="4"/>
  <c r="A19" i="4"/>
  <c r="W18" i="4"/>
  <c r="P18" i="4"/>
  <c r="O18" i="4"/>
  <c r="N18" i="4"/>
  <c r="M18" i="4"/>
  <c r="L18" i="4"/>
  <c r="K18" i="4"/>
  <c r="U18" i="4" s="1"/>
  <c r="J18" i="4"/>
  <c r="I18" i="4"/>
  <c r="H18" i="4"/>
  <c r="G18" i="4"/>
  <c r="F18" i="4"/>
  <c r="E18" i="4"/>
  <c r="D18" i="4"/>
  <c r="C18" i="4"/>
  <c r="B18" i="4"/>
  <c r="A18" i="4"/>
  <c r="U17" i="4"/>
  <c r="T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W17" i="4" s="1"/>
  <c r="A17" i="4"/>
  <c r="W16" i="4"/>
  <c r="R16" i="4"/>
  <c r="P16" i="4"/>
  <c r="O16" i="4"/>
  <c r="N16" i="4"/>
  <c r="M16" i="4"/>
  <c r="L16" i="4"/>
  <c r="K16" i="4"/>
  <c r="J16" i="4"/>
  <c r="I16" i="4"/>
  <c r="H16" i="4"/>
  <c r="G16" i="4"/>
  <c r="T16" i="4" s="1"/>
  <c r="F16" i="4"/>
  <c r="E16" i="4"/>
  <c r="D16" i="4"/>
  <c r="C16" i="4"/>
  <c r="B16" i="4"/>
  <c r="A16" i="4"/>
  <c r="P15" i="4"/>
  <c r="O15" i="4"/>
  <c r="R15" i="4" s="1"/>
  <c r="N15" i="4"/>
  <c r="M15" i="4"/>
  <c r="L15" i="4"/>
  <c r="K15" i="4"/>
  <c r="T15" i="4" s="1"/>
  <c r="J15" i="4"/>
  <c r="I15" i="4"/>
  <c r="H15" i="4"/>
  <c r="U15" i="4" s="1"/>
  <c r="G15" i="4"/>
  <c r="F15" i="4"/>
  <c r="E15" i="4"/>
  <c r="D15" i="4"/>
  <c r="C15" i="4"/>
  <c r="B15" i="4"/>
  <c r="W15" i="4" s="1"/>
  <c r="A15" i="4"/>
  <c r="U14" i="4"/>
  <c r="T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4" i="4" s="1"/>
  <c r="A14" i="4"/>
  <c r="S14" i="4" s="1"/>
  <c r="V14" i="4" s="1"/>
  <c r="R13" i="4"/>
  <c r="Q13" i="4"/>
  <c r="P13" i="4"/>
  <c r="O13" i="4"/>
  <c r="N13" i="4"/>
  <c r="M13" i="4"/>
  <c r="L13" i="4"/>
  <c r="K13" i="4"/>
  <c r="J13" i="4"/>
  <c r="I13" i="4"/>
  <c r="H13" i="4"/>
  <c r="U13" i="4" s="1"/>
  <c r="G13" i="4"/>
  <c r="T13" i="4" s="1"/>
  <c r="F13" i="4"/>
  <c r="E13" i="4"/>
  <c r="D13" i="4"/>
  <c r="C13" i="4"/>
  <c r="B13" i="4"/>
  <c r="W13" i="4" s="1"/>
  <c r="A13" i="4"/>
  <c r="S13" i="4" s="1"/>
  <c r="V13" i="4" s="1"/>
  <c r="W12" i="4"/>
  <c r="P12" i="4"/>
  <c r="O12" i="4"/>
  <c r="R12" i="4" s="1"/>
  <c r="N12" i="4"/>
  <c r="M12" i="4"/>
  <c r="L12" i="4"/>
  <c r="K12" i="4"/>
  <c r="J12" i="4"/>
  <c r="I12" i="4"/>
  <c r="H12" i="4"/>
  <c r="G12" i="4"/>
  <c r="T12" i="4" s="1"/>
  <c r="F12" i="4"/>
  <c r="E12" i="4"/>
  <c r="D12" i="4"/>
  <c r="C12" i="4"/>
  <c r="B12" i="4"/>
  <c r="A12" i="4"/>
  <c r="W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U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10" i="4" s="1"/>
  <c r="A10" i="4"/>
  <c r="S10" i="4" s="1"/>
  <c r="W9" i="4"/>
  <c r="P9" i="4"/>
  <c r="O9" i="4"/>
  <c r="N9" i="4"/>
  <c r="R9" i="4" s="1"/>
  <c r="M9" i="4"/>
  <c r="L9" i="4"/>
  <c r="K9" i="4"/>
  <c r="J9" i="4"/>
  <c r="I9" i="4"/>
  <c r="H9" i="4"/>
  <c r="G9" i="4"/>
  <c r="T9" i="4" s="1"/>
  <c r="F9" i="4"/>
  <c r="E9" i="4"/>
  <c r="D9" i="4"/>
  <c r="C9" i="4"/>
  <c r="B9" i="4"/>
  <c r="A9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8" i="4" s="1"/>
  <c r="A8" i="4"/>
  <c r="U7" i="4"/>
  <c r="R7" i="4"/>
  <c r="P7" i="4"/>
  <c r="O7" i="4"/>
  <c r="N7" i="4"/>
  <c r="M7" i="4"/>
  <c r="L7" i="4"/>
  <c r="K7" i="4"/>
  <c r="J7" i="4"/>
  <c r="I7" i="4"/>
  <c r="H7" i="4"/>
  <c r="Q7" i="4" s="1"/>
  <c r="G7" i="4"/>
  <c r="F7" i="4"/>
  <c r="E7" i="4"/>
  <c r="D7" i="4"/>
  <c r="C7" i="4"/>
  <c r="T7" i="4" s="1"/>
  <c r="B7" i="4"/>
  <c r="W7" i="4" s="1"/>
  <c r="A7" i="4"/>
  <c r="R6" i="4"/>
  <c r="Q6" i="4"/>
  <c r="P6" i="4"/>
  <c r="O6" i="4"/>
  <c r="N6" i="4"/>
  <c r="M6" i="4"/>
  <c r="L6" i="4"/>
  <c r="K6" i="4"/>
  <c r="J6" i="4"/>
  <c r="I6" i="4"/>
  <c r="H6" i="4"/>
  <c r="U6" i="4" s="1"/>
  <c r="G6" i="4"/>
  <c r="F6" i="4"/>
  <c r="E6" i="4"/>
  <c r="D6" i="4"/>
  <c r="C6" i="4"/>
  <c r="B6" i="4"/>
  <c r="W6" i="4" s="1"/>
  <c r="A6" i="4"/>
  <c r="S24" i="4" s="1"/>
  <c r="V24" i="4" s="1"/>
  <c r="R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T5" i="4" s="1"/>
  <c r="B5" i="4"/>
  <c r="W5" i="4" s="1"/>
  <c r="A5" i="4"/>
  <c r="S5" i="4" s="1"/>
  <c r="W4" i="4"/>
  <c r="P4" i="4"/>
  <c r="O4" i="4"/>
  <c r="R4" i="4" s="1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S3" i="4"/>
  <c r="Q3" i="4"/>
  <c r="P3" i="4"/>
  <c r="O3" i="4"/>
  <c r="R3" i="4" s="1"/>
  <c r="N3" i="4"/>
  <c r="M3" i="4"/>
  <c r="L3" i="4"/>
  <c r="K3" i="4"/>
  <c r="J3" i="4"/>
  <c r="I3" i="4"/>
  <c r="H3" i="4"/>
  <c r="U3" i="4" s="1"/>
  <c r="G3" i="4"/>
  <c r="F3" i="4"/>
  <c r="E3" i="4"/>
  <c r="D3" i="4"/>
  <c r="C3" i="4"/>
  <c r="T3" i="4" s="1"/>
  <c r="B3" i="4"/>
  <c r="W3" i="4" s="1"/>
  <c r="A3" i="4"/>
  <c r="S91" i="4" s="1"/>
  <c r="W2" i="4"/>
  <c r="S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V60" i="4" l="1"/>
  <c r="V56" i="4"/>
  <c r="J6" i="8" s="1"/>
  <c r="U89" i="4"/>
  <c r="Q89" i="4"/>
  <c r="U8" i="4"/>
  <c r="T8" i="4"/>
  <c r="F11" i="5"/>
  <c r="T2" i="4"/>
  <c r="V3" i="4"/>
  <c r="T23" i="4"/>
  <c r="S78" i="4"/>
  <c r="S85" i="4"/>
  <c r="V85" i="4" s="1"/>
  <c r="S104" i="4"/>
  <c r="S159" i="4"/>
  <c r="U213" i="4"/>
  <c r="Q213" i="4"/>
  <c r="S122" i="4"/>
  <c r="V122" i="4" s="1"/>
  <c r="S72" i="4"/>
  <c r="V72" i="4" s="1"/>
  <c r="U51" i="4"/>
  <c r="Q51" i="4"/>
  <c r="S133" i="4"/>
  <c r="V133" i="4" s="1"/>
  <c r="R155" i="4"/>
  <c r="S170" i="4"/>
  <c r="V170" i="4" s="1"/>
  <c r="U173" i="4"/>
  <c r="Q173" i="4"/>
  <c r="U174" i="4"/>
  <c r="T174" i="4"/>
  <c r="S74" i="4"/>
  <c r="V74" i="4" s="1"/>
  <c r="R88" i="4"/>
  <c r="S240" i="4"/>
  <c r="Q16" i="4"/>
  <c r="U16" i="4"/>
  <c r="V46" i="4"/>
  <c r="E7" i="8" s="1"/>
  <c r="U157" i="4"/>
  <c r="Q157" i="4"/>
  <c r="S273" i="4"/>
  <c r="V273" i="4" s="1"/>
  <c r="R47" i="4"/>
  <c r="Q69" i="4"/>
  <c r="U69" i="4"/>
  <c r="Q103" i="4"/>
  <c r="U103" i="4"/>
  <c r="S160" i="4"/>
  <c r="V160" i="4" s="1"/>
  <c r="S39" i="4"/>
  <c r="V39" i="4" s="1"/>
  <c r="S294" i="4"/>
  <c r="U37" i="4"/>
  <c r="Q37" i="4"/>
  <c r="U4" i="4"/>
  <c r="Q4" i="4"/>
  <c r="U113" i="4"/>
  <c r="Q113" i="4"/>
  <c r="S88" i="4"/>
  <c r="V88" i="4" s="1"/>
  <c r="S95" i="4"/>
  <c r="V95" i="4" s="1"/>
  <c r="L13" i="8" s="1"/>
  <c r="U98" i="4"/>
  <c r="Q98" i="4"/>
  <c r="Q23" i="4"/>
  <c r="U23" i="4"/>
  <c r="S167" i="4"/>
  <c r="S264" i="4"/>
  <c r="V264" i="4" s="1"/>
  <c r="S53" i="4"/>
  <c r="V53" i="4" s="1"/>
  <c r="U102" i="4"/>
  <c r="Q102" i="4"/>
  <c r="S200" i="4"/>
  <c r="V200" i="4" s="1"/>
  <c r="Q205" i="4"/>
  <c r="U205" i="4"/>
  <c r="U136" i="4"/>
  <c r="Q136" i="4"/>
  <c r="S247" i="4"/>
  <c r="V247" i="4" s="1"/>
  <c r="S186" i="4"/>
  <c r="V186" i="4" s="1"/>
  <c r="S49" i="4"/>
  <c r="V49" i="4" s="1"/>
  <c r="S68" i="4"/>
  <c r="V68" i="4" s="1"/>
  <c r="G6" i="9" s="1"/>
  <c r="R75" i="4"/>
  <c r="U86" i="4"/>
  <c r="Q86" i="4"/>
  <c r="U115" i="4"/>
  <c r="Q115" i="4"/>
  <c r="S127" i="4"/>
  <c r="V127" i="4" s="1"/>
  <c r="S134" i="4"/>
  <c r="V134" i="4" s="1"/>
  <c r="S164" i="4"/>
  <c r="V164" i="4" s="1"/>
  <c r="S180" i="4"/>
  <c r="U40" i="4"/>
  <c r="T40" i="4"/>
  <c r="U141" i="4"/>
  <c r="T141" i="4"/>
  <c r="R72" i="4"/>
  <c r="U90" i="4"/>
  <c r="T90" i="4"/>
  <c r="Q203" i="4"/>
  <c r="U203" i="4"/>
  <c r="S176" i="4"/>
  <c r="R54" i="4"/>
  <c r="S87" i="4"/>
  <c r="V87" i="4" s="1"/>
  <c r="U243" i="4"/>
  <c r="Q243" i="4"/>
  <c r="S100" i="4"/>
  <c r="S149" i="4"/>
  <c r="V149" i="4" s="1"/>
  <c r="S192" i="4"/>
  <c r="V192" i="4" s="1"/>
  <c r="S7" i="4"/>
  <c r="V7" i="4" s="1"/>
  <c r="Q5" i="4"/>
  <c r="U5" i="4"/>
  <c r="V5" i="4" s="1"/>
  <c r="U12" i="4"/>
  <c r="Q12" i="4"/>
  <c r="U19" i="4"/>
  <c r="Q19" i="4"/>
  <c r="S22" i="4"/>
  <c r="U2" i="4"/>
  <c r="R50" i="4"/>
  <c r="S63" i="4"/>
  <c r="V63" i="4" s="1"/>
  <c r="U147" i="4"/>
  <c r="T147" i="4"/>
  <c r="R225" i="4"/>
  <c r="V38" i="4"/>
  <c r="S35" i="4"/>
  <c r="T55" i="4"/>
  <c r="S57" i="4"/>
  <c r="V57" i="4" s="1"/>
  <c r="E6" i="8" s="1"/>
  <c r="U73" i="4"/>
  <c r="Q73" i="4"/>
  <c r="S75" i="4"/>
  <c r="V75" i="4" s="1"/>
  <c r="T114" i="4"/>
  <c r="U114" i="4"/>
  <c r="Q124" i="4"/>
  <c r="S144" i="4"/>
  <c r="S214" i="4"/>
  <c r="Q9" i="4"/>
  <c r="U9" i="4"/>
  <c r="R93" i="4"/>
  <c r="S6" i="4"/>
  <c r="U77" i="4"/>
  <c r="Q77" i="4"/>
  <c r="Q48" i="4"/>
  <c r="U48" i="4"/>
  <c r="Q55" i="4"/>
  <c r="U55" i="4"/>
  <c r="U62" i="4"/>
  <c r="S83" i="4"/>
  <c r="V83" i="4" s="1"/>
  <c r="S96" i="4"/>
  <c r="V96" i="4" s="1"/>
  <c r="S111" i="4"/>
  <c r="V111" i="4" s="1"/>
  <c r="Q125" i="4"/>
  <c r="U125" i="4"/>
  <c r="S129" i="4"/>
  <c r="V129" i="4" s="1"/>
  <c r="T222" i="4"/>
  <c r="U222" i="4"/>
  <c r="S138" i="4"/>
  <c r="T244" i="4"/>
  <c r="U244" i="4"/>
  <c r="U44" i="4"/>
  <c r="Q44" i="4"/>
  <c r="S17" i="4"/>
  <c r="V17" i="4" s="1"/>
  <c r="S64" i="4"/>
  <c r="V64" i="4" s="1"/>
  <c r="U81" i="4"/>
  <c r="Q81" i="4"/>
  <c r="Q82" i="4"/>
  <c r="U82" i="4"/>
  <c r="U94" i="4"/>
  <c r="Q94" i="4"/>
  <c r="T126" i="4"/>
  <c r="U126" i="4"/>
  <c r="U142" i="4"/>
  <c r="Q142" i="4"/>
  <c r="T78" i="4"/>
  <c r="S54" i="4"/>
  <c r="U237" i="4"/>
  <c r="Q237" i="4"/>
  <c r="J13" i="8"/>
  <c r="D11" i="8"/>
  <c r="L14" i="8"/>
  <c r="J8" i="8"/>
  <c r="F7" i="8"/>
  <c r="I14" i="8"/>
  <c r="J9" i="8"/>
  <c r="C7" i="8"/>
  <c r="M11" i="8"/>
  <c r="F9" i="8"/>
  <c r="D14" i="8"/>
  <c r="K11" i="8"/>
  <c r="E9" i="8"/>
  <c r="G10" i="8"/>
  <c r="D9" i="8"/>
  <c r="K6" i="8"/>
  <c r="L12" i="8"/>
  <c r="N13" i="8"/>
  <c r="H11" i="8"/>
  <c r="F7" i="5"/>
  <c r="G11" i="8"/>
  <c r="K7" i="8"/>
  <c r="H12" i="8"/>
  <c r="I7" i="8"/>
  <c r="S18" i="4"/>
  <c r="S34" i="4"/>
  <c r="S11" i="4"/>
  <c r="S207" i="4"/>
  <c r="S296" i="4"/>
  <c r="S220" i="4"/>
  <c r="V220" i="4" s="1"/>
  <c r="S215" i="4"/>
  <c r="V215" i="4" s="1"/>
  <c r="S206" i="4"/>
  <c r="V206" i="4" s="1"/>
  <c r="S187" i="4"/>
  <c r="V187" i="4" s="1"/>
  <c r="S92" i="4"/>
  <c r="V92" i="4" s="1"/>
  <c r="S48" i="4"/>
  <c r="S37" i="4"/>
  <c r="V37" i="4" s="1"/>
  <c r="J14" i="8" s="1"/>
  <c r="S26" i="4"/>
  <c r="V26" i="4" s="1"/>
  <c r="S80" i="4"/>
  <c r="V80" i="4" s="1"/>
  <c r="S140" i="4"/>
  <c r="V140" i="4" s="1"/>
  <c r="M10" i="8" s="1"/>
  <c r="S229" i="4"/>
  <c r="V229" i="4" s="1"/>
  <c r="S108" i="4"/>
  <c r="V108" i="4" s="1"/>
  <c r="S16" i="4"/>
  <c r="V16" i="4" s="1"/>
  <c r="S19" i="4"/>
  <c r="S12" i="4"/>
  <c r="S30" i="4"/>
  <c r="S8" i="4"/>
  <c r="S123" i="4"/>
  <c r="S118" i="4"/>
  <c r="S112" i="4"/>
  <c r="S174" i="4"/>
  <c r="V174" i="4" s="1"/>
  <c r="S152" i="4"/>
  <c r="V152" i="4" s="1"/>
  <c r="S90" i="4"/>
  <c r="S55" i="4"/>
  <c r="S51" i="4"/>
  <c r="V51" i="4" s="1"/>
  <c r="S23" i="4"/>
  <c r="V23" i="4" s="1"/>
  <c r="S58" i="4"/>
  <c r="V58" i="4" s="1"/>
  <c r="F9" i="7" s="1"/>
  <c r="S44" i="4"/>
  <c r="S136" i="4"/>
  <c r="S69" i="4"/>
  <c r="V69" i="4" s="1"/>
  <c r="S62" i="4"/>
  <c r="S287" i="4"/>
  <c r="S147" i="4"/>
  <c r="V147" i="4" s="1"/>
  <c r="S107" i="4"/>
  <c r="S47" i="4"/>
  <c r="V47" i="4" s="1"/>
  <c r="S40" i="4"/>
  <c r="S15" i="4"/>
  <c r="V15" i="4" s="1"/>
  <c r="S250" i="4"/>
  <c r="V250" i="4" s="1"/>
  <c r="S184" i="4"/>
  <c r="V184" i="4" s="1"/>
  <c r="S162" i="4"/>
  <c r="V162" i="4" s="1"/>
  <c r="S156" i="4"/>
  <c r="V156" i="4" s="1"/>
  <c r="S226" i="4"/>
  <c r="V226" i="4" s="1"/>
  <c r="S101" i="4"/>
  <c r="V101" i="4" s="1"/>
  <c r="S158" i="4"/>
  <c r="S115" i="4"/>
  <c r="V115" i="4" s="1"/>
  <c r="R18" i="4"/>
  <c r="S31" i="4"/>
  <c r="V31" i="4" s="1"/>
  <c r="U34" i="4"/>
  <c r="Q41" i="4"/>
  <c r="U41" i="4"/>
  <c r="S52" i="4"/>
  <c r="V52" i="4" s="1"/>
  <c r="R71" i="4"/>
  <c r="S145" i="4"/>
  <c r="V145" i="4" s="1"/>
  <c r="S260" i="4"/>
  <c r="V260" i="4" s="1"/>
  <c r="T4" i="4"/>
  <c r="U11" i="4"/>
  <c r="Q11" i="4"/>
  <c r="U22" i="4"/>
  <c r="U36" i="4"/>
  <c r="S45" i="4"/>
  <c r="V45" i="4" s="1"/>
  <c r="Q45" i="4"/>
  <c r="U47" i="4"/>
  <c r="U54" i="4"/>
  <c r="Q76" i="4"/>
  <c r="T89" i="4"/>
  <c r="S99" i="4"/>
  <c r="V99" i="4" s="1"/>
  <c r="T107" i="4"/>
  <c r="U124" i="4"/>
  <c r="T124" i="4"/>
  <c r="Q135" i="4"/>
  <c r="U135" i="4"/>
  <c r="U146" i="4"/>
  <c r="Q146" i="4"/>
  <c r="Q161" i="4"/>
  <c r="U161" i="4"/>
  <c r="Q178" i="4"/>
  <c r="U178" i="4"/>
  <c r="U189" i="4"/>
  <c r="Q219" i="4"/>
  <c r="U219" i="4"/>
  <c r="S230" i="4"/>
  <c r="U242" i="4"/>
  <c r="U259" i="4"/>
  <c r="Q259" i="4"/>
  <c r="U191" i="4"/>
  <c r="Q191" i="4"/>
  <c r="U254" i="4"/>
  <c r="T254" i="4"/>
  <c r="Q2" i="4"/>
  <c r="R11" i="4"/>
  <c r="U27" i="4"/>
  <c r="Q27" i="4"/>
  <c r="Q34" i="4"/>
  <c r="T38" i="4"/>
  <c r="U59" i="4"/>
  <c r="Q59" i="4"/>
  <c r="U66" i="4"/>
  <c r="Q66" i="4"/>
  <c r="R76" i="4"/>
  <c r="G9" i="9" s="1"/>
  <c r="S84" i="4"/>
  <c r="U153" i="4"/>
  <c r="S210" i="4"/>
  <c r="V210" i="4" s="1"/>
  <c r="U223" i="4"/>
  <c r="Q223" i="4"/>
  <c r="U236" i="4"/>
  <c r="T236" i="4"/>
  <c r="R242" i="4"/>
  <c r="S258" i="4"/>
  <c r="U169" i="4"/>
  <c r="Q169" i="4"/>
  <c r="Q110" i="4"/>
  <c r="U110" i="4"/>
  <c r="T139" i="4"/>
  <c r="S172" i="4"/>
  <c r="V172" i="4" s="1"/>
  <c r="S189" i="4"/>
  <c r="V189" i="4" s="1"/>
  <c r="E9" i="7" s="1"/>
  <c r="S4" i="4"/>
  <c r="U35" i="4"/>
  <c r="U79" i="4"/>
  <c r="V79" i="4" s="1"/>
  <c r="U83" i="4"/>
  <c r="Q92" i="4"/>
  <c r="T128" i="4"/>
  <c r="S130" i="4"/>
  <c r="V130" i="4" s="1"/>
  <c r="U139" i="4"/>
  <c r="S141" i="4"/>
  <c r="Q208" i="4"/>
  <c r="U208" i="4"/>
  <c r="U253" i="4"/>
  <c r="T253" i="4"/>
  <c r="U294" i="4"/>
  <c r="T294" i="4"/>
  <c r="T42" i="4"/>
  <c r="V42" i="4" s="1"/>
  <c r="S61" i="4"/>
  <c r="U121" i="4"/>
  <c r="Q121" i="4"/>
  <c r="S188" i="4"/>
  <c r="R8" i="4"/>
  <c r="Q109" i="4"/>
  <c r="U109" i="4"/>
  <c r="S33" i="4"/>
  <c r="V33" i="4" s="1"/>
  <c r="S65" i="4"/>
  <c r="V65" i="4" s="1"/>
  <c r="S98" i="4"/>
  <c r="S119" i="4"/>
  <c r="V119" i="4" s="1"/>
  <c r="S125" i="4"/>
  <c r="V125" i="4" s="1"/>
  <c r="Q128" i="4"/>
  <c r="U128" i="4"/>
  <c r="Q165" i="4"/>
  <c r="U165" i="4"/>
  <c r="S179" i="4"/>
  <c r="V179" i="4" s="1"/>
  <c r="U193" i="4"/>
  <c r="Q193" i="4"/>
  <c r="Q194" i="4"/>
  <c r="U194" i="4"/>
  <c r="S227" i="4"/>
  <c r="S244" i="4"/>
  <c r="S261" i="4"/>
  <c r="V261" i="4" s="1"/>
  <c r="S278" i="4"/>
  <c r="V278" i="4" s="1"/>
  <c r="E13" i="7" s="1"/>
  <c r="S77" i="4"/>
  <c r="S102" i="4"/>
  <c r="V102" i="4" s="1"/>
  <c r="S131" i="4"/>
  <c r="V131" i="4" s="1"/>
  <c r="Q140" i="4"/>
  <c r="F9" i="5"/>
  <c r="S93" i="4"/>
  <c r="V93" i="4" s="1"/>
  <c r="T10" i="4"/>
  <c r="V10" i="4" s="1"/>
  <c r="S36" i="4"/>
  <c r="U26" i="4"/>
  <c r="U58" i="4"/>
  <c r="T62" i="4"/>
  <c r="S73" i="4"/>
  <c r="S82" i="4"/>
  <c r="V82" i="4" s="1"/>
  <c r="T84" i="4"/>
  <c r="S94" i="4"/>
  <c r="V94" i="4" s="1"/>
  <c r="E13" i="8" s="1"/>
  <c r="Q117" i="4"/>
  <c r="U117" i="4"/>
  <c r="T118" i="4"/>
  <c r="S163" i="4"/>
  <c r="V163" i="4" s="1"/>
  <c r="S168" i="4"/>
  <c r="V168" i="4" s="1"/>
  <c r="T190" i="4"/>
  <c r="S245" i="4"/>
  <c r="V245" i="4" s="1"/>
  <c r="E10" i="7" s="1"/>
  <c r="R2" i="4"/>
  <c r="T18" i="4"/>
  <c r="T29" i="4"/>
  <c r="R34" i="4"/>
  <c r="S41" i="4"/>
  <c r="T43" i="4"/>
  <c r="R59" i="4"/>
  <c r="T61" i="4"/>
  <c r="R66" i="4"/>
  <c r="T68" i="4"/>
  <c r="U84" i="4"/>
  <c r="Q84" i="4"/>
  <c r="T106" i="4"/>
  <c r="U106" i="4"/>
  <c r="S126" i="4"/>
  <c r="V126" i="4" s="1"/>
  <c r="G6" i="8" s="1"/>
  <c r="T234" i="4"/>
  <c r="U234" i="4"/>
  <c r="S262" i="4"/>
  <c r="S272" i="4"/>
  <c r="T104" i="4"/>
  <c r="S166" i="4"/>
  <c r="V166" i="4" s="1"/>
  <c r="T6" i="4"/>
  <c r="S29" i="4"/>
  <c r="S151" i="4"/>
  <c r="T30" i="4"/>
  <c r="R27" i="4"/>
  <c r="T50" i="4"/>
  <c r="S9" i="4"/>
  <c r="V9" i="4" s="1"/>
  <c r="T11" i="4"/>
  <c r="Q18" i="4"/>
  <c r="T22" i="4"/>
  <c r="U29" i="4"/>
  <c r="T36" i="4"/>
  <c r="U43" i="4"/>
  <c r="Q43" i="4"/>
  <c r="Q50" i="4"/>
  <c r="T54" i="4"/>
  <c r="U61" i="4"/>
  <c r="U68" i="4"/>
  <c r="R70" i="4"/>
  <c r="U72" i="4"/>
  <c r="T76" i="4"/>
  <c r="S86" i="4"/>
  <c r="Q97" i="4"/>
  <c r="S120" i="4"/>
  <c r="V120" i="4" s="1"/>
  <c r="Q120" i="4"/>
  <c r="S137" i="4"/>
  <c r="V137" i="4" s="1"/>
  <c r="S148" i="4"/>
  <c r="V148" i="4" s="1"/>
  <c r="U151" i="4"/>
  <c r="T167" i="4"/>
  <c r="U167" i="4"/>
  <c r="S238" i="4"/>
  <c r="V238" i="4" s="1"/>
  <c r="Q249" i="4"/>
  <c r="U249" i="4"/>
  <c r="T250" i="4"/>
  <c r="U250" i="4"/>
  <c r="T86" i="4"/>
  <c r="Q91" i="4"/>
  <c r="S114" i="4"/>
  <c r="U116" i="4"/>
  <c r="V116" i="4" s="1"/>
  <c r="M6" i="8" s="1"/>
  <c r="T120" i="4"/>
  <c r="S132" i="4"/>
  <c r="V132" i="4" s="1"/>
  <c r="S139" i="4"/>
  <c r="V139" i="4" s="1"/>
  <c r="S143" i="4"/>
  <c r="V143" i="4" s="1"/>
  <c r="I8" i="8" s="1"/>
  <c r="S154" i="4"/>
  <c r="V154" i="4" s="1"/>
  <c r="H13" i="8" s="1"/>
  <c r="Q156" i="4"/>
  <c r="U156" i="4"/>
  <c r="U168" i="4"/>
  <c r="U180" i="4"/>
  <c r="U188" i="4"/>
  <c r="S190" i="4"/>
  <c r="S195" i="4"/>
  <c r="S204" i="4"/>
  <c r="V204" i="4" s="1"/>
  <c r="U207" i="4"/>
  <c r="Q207" i="4"/>
  <c r="Q216" i="4"/>
  <c r="U216" i="4"/>
  <c r="S218" i="4"/>
  <c r="S228" i="4"/>
  <c r="V228" i="4" s="1"/>
  <c r="Q231" i="4"/>
  <c r="U231" i="4"/>
  <c r="S233" i="4"/>
  <c r="V233" i="4" s="1"/>
  <c r="S224" i="4"/>
  <c r="V224" i="4" s="1"/>
  <c r="T266" i="4"/>
  <c r="U266" i="4"/>
  <c r="S269" i="4"/>
  <c r="S257" i="4"/>
  <c r="V257" i="4" s="1"/>
  <c r="S196" i="4"/>
  <c r="R215" i="4"/>
  <c r="R230" i="4"/>
  <c r="R264" i="4"/>
  <c r="U290" i="4"/>
  <c r="T290" i="4"/>
  <c r="S295" i="4"/>
  <c r="V295" i="4" s="1"/>
  <c r="S241" i="4"/>
  <c r="V241" i="4" s="1"/>
  <c r="R258" i="4"/>
  <c r="U275" i="4"/>
  <c r="Q275" i="4"/>
  <c r="T186" i="4"/>
  <c r="Q199" i="4"/>
  <c r="U199" i="4"/>
  <c r="U204" i="4"/>
  <c r="Q15" i="4"/>
  <c r="R68" i="4"/>
  <c r="U100" i="4"/>
  <c r="R116" i="4"/>
  <c r="R134" i="4"/>
  <c r="T136" i="4"/>
  <c r="U143" i="4"/>
  <c r="T158" i="4"/>
  <c r="S175" i="4"/>
  <c r="V175" i="4" s="1"/>
  <c r="S197" i="4"/>
  <c r="V197" i="4" s="1"/>
  <c r="R202" i="4"/>
  <c r="S211" i="4"/>
  <c r="U215" i="4"/>
  <c r="R216" i="4"/>
  <c r="Q228" i="4"/>
  <c r="U228" i="4"/>
  <c r="U291" i="4"/>
  <c r="Q291" i="4"/>
  <c r="S252" i="4"/>
  <c r="U256" i="4"/>
  <c r="Q256" i="4"/>
  <c r="T263" i="4"/>
  <c r="S217" i="4"/>
  <c r="U270" i="4"/>
  <c r="U284" i="4"/>
  <c r="Q284" i="4"/>
  <c r="S288" i="4"/>
  <c r="V288" i="4" s="1"/>
  <c r="R289" i="4"/>
  <c r="S193" i="4"/>
  <c r="V193" i="4" s="1"/>
  <c r="N6" i="8" s="1"/>
  <c r="F14" i="5"/>
  <c r="U91" i="4"/>
  <c r="S109" i="4"/>
  <c r="V109" i="4" s="1"/>
  <c r="S142" i="4"/>
  <c r="V142" i="4" s="1"/>
  <c r="T144" i="4"/>
  <c r="Q159" i="4"/>
  <c r="T163" i="4"/>
  <c r="U176" i="4"/>
  <c r="T183" i="4"/>
  <c r="U196" i="4"/>
  <c r="S208" i="4"/>
  <c r="V208" i="4" s="1"/>
  <c r="S212" i="4"/>
  <c r="V212" i="4" s="1"/>
  <c r="R227" i="4"/>
  <c r="T240" i="4"/>
  <c r="S242" i="4"/>
  <c r="R248" i="4"/>
  <c r="S259" i="4"/>
  <c r="U271" i="4"/>
  <c r="Q271" i="4"/>
  <c r="S299" i="4"/>
  <c r="V299" i="4" s="1"/>
  <c r="S283" i="4"/>
  <c r="S267" i="4"/>
  <c r="V267" i="4" s="1"/>
  <c r="S251" i="4"/>
  <c r="S235" i="4"/>
  <c r="C17" i="5"/>
  <c r="S289" i="4"/>
  <c r="V289" i="4" s="1"/>
  <c r="S300" i="4"/>
  <c r="S293" i="4"/>
  <c r="V293" i="4" s="1"/>
  <c r="S277" i="4"/>
  <c r="V277" i="4" s="1"/>
  <c r="S297" i="4"/>
  <c r="V297" i="4" s="1"/>
  <c r="S281" i="4"/>
  <c r="V281" i="4" s="1"/>
  <c r="S265" i="4"/>
  <c r="V265" i="4" s="1"/>
  <c r="S271" i="4"/>
  <c r="V271" i="4" s="1"/>
  <c r="S263" i="4"/>
  <c r="S234" i="4"/>
  <c r="S222" i="4"/>
  <c r="V222" i="4" s="1"/>
  <c r="S219" i="4"/>
  <c r="V219" i="4" s="1"/>
  <c r="S202" i="4"/>
  <c r="S191" i="4"/>
  <c r="S161" i="4"/>
  <c r="V161" i="4" s="1"/>
  <c r="S135" i="4"/>
  <c r="S280" i="4"/>
  <c r="V280" i="4" s="1"/>
  <c r="S266" i="4"/>
  <c r="V266" i="4" s="1"/>
  <c r="K10" i="8" s="1"/>
  <c r="S246" i="4"/>
  <c r="V246" i="4" s="1"/>
  <c r="S243" i="4"/>
  <c r="V243" i="4" s="1"/>
  <c r="S231" i="4"/>
  <c r="V231" i="4" s="1"/>
  <c r="S216" i="4"/>
  <c r="S183" i="4"/>
  <c r="S178" i="4"/>
  <c r="V178" i="4" s="1"/>
  <c r="S199" i="4"/>
  <c r="V199" i="4" s="1"/>
  <c r="S290" i="4"/>
  <c r="S275" i="4"/>
  <c r="S270" i="4"/>
  <c r="S274" i="4"/>
  <c r="S255" i="4"/>
  <c r="V255" i="4" s="1"/>
  <c r="S239" i="4"/>
  <c r="V239" i="4" s="1"/>
  <c r="S236" i="4"/>
  <c r="S155" i="4"/>
  <c r="V155" i="4" s="1"/>
  <c r="S286" i="4"/>
  <c r="V286" i="4" s="1"/>
  <c r="S171" i="4"/>
  <c r="V171" i="4" s="1"/>
  <c r="C12" i="7" s="1"/>
  <c r="T70" i="4"/>
  <c r="V70" i="4" s="1"/>
  <c r="Q80" i="4"/>
  <c r="Q108" i="4"/>
  <c r="S124" i="4"/>
  <c r="T138" i="4"/>
  <c r="Q144" i="4"/>
  <c r="U144" i="4"/>
  <c r="S153" i="4"/>
  <c r="S157" i="4"/>
  <c r="T175" i="4"/>
  <c r="Q183" i="4"/>
  <c r="U183" i="4"/>
  <c r="S194" i="4"/>
  <c r="V194" i="4" s="1"/>
  <c r="S198" i="4"/>
  <c r="S203" i="4"/>
  <c r="V203" i="4" s="1"/>
  <c r="T217" i="4"/>
  <c r="S232" i="4"/>
  <c r="V232" i="4" s="1"/>
  <c r="Q235" i="4"/>
  <c r="U235" i="4"/>
  <c r="U240" i="4"/>
  <c r="Q240" i="4"/>
  <c r="T246" i="4"/>
  <c r="U246" i="4"/>
  <c r="T286" i="4"/>
  <c r="F8" i="5"/>
  <c r="S27" i="4"/>
  <c r="V27" i="4" s="1"/>
  <c r="S43" i="4"/>
  <c r="V43" i="4" s="1"/>
  <c r="S59" i="4"/>
  <c r="V59" i="4" s="1"/>
  <c r="S66" i="4"/>
  <c r="V66" i="4" s="1"/>
  <c r="T75" i="4"/>
  <c r="S81" i="4"/>
  <c r="S89" i="4"/>
  <c r="V89" i="4" s="1"/>
  <c r="S113" i="4"/>
  <c r="V113" i="4" s="1"/>
  <c r="S117" i="4"/>
  <c r="V117" i="4" s="1"/>
  <c r="Q119" i="4"/>
  <c r="U137" i="4"/>
  <c r="S146" i="4"/>
  <c r="S169" i="4"/>
  <c r="V169" i="4" s="1"/>
  <c r="S181" i="4"/>
  <c r="V181" i="4" s="1"/>
  <c r="S185" i="4"/>
  <c r="V185" i="4" s="1"/>
  <c r="S248" i="4"/>
  <c r="V248" i="4" s="1"/>
  <c r="F12" i="8" s="1"/>
  <c r="S254" i="4"/>
  <c r="C11" i="7"/>
  <c r="S50" i="4"/>
  <c r="V50" i="4" s="1"/>
  <c r="J10" i="8" s="1"/>
  <c r="S71" i="4"/>
  <c r="V71" i="4" s="1"/>
  <c r="S76" i="4"/>
  <c r="V76" i="4" s="1"/>
  <c r="G9" i="8" s="1"/>
  <c r="S103" i="4"/>
  <c r="V103" i="4" s="1"/>
  <c r="S106" i="4"/>
  <c r="V106" i="4" s="1"/>
  <c r="S110" i="4"/>
  <c r="V110" i="4" s="1"/>
  <c r="T112" i="4"/>
  <c r="T123" i="4"/>
  <c r="S128" i="4"/>
  <c r="S165" i="4"/>
  <c r="S213" i="4"/>
  <c r="S268" i="4"/>
  <c r="V268" i="4" s="1"/>
  <c r="G7" i="9"/>
  <c r="S25" i="4"/>
  <c r="V25" i="4" s="1"/>
  <c r="T91" i="4"/>
  <c r="V91" i="4" s="1"/>
  <c r="S97" i="4"/>
  <c r="V97" i="4" s="1"/>
  <c r="K8" i="8" s="1"/>
  <c r="U105" i="4"/>
  <c r="V105" i="4" s="1"/>
  <c r="Q112" i="4"/>
  <c r="U112" i="4"/>
  <c r="S121" i="4"/>
  <c r="V121" i="4" s="1"/>
  <c r="Q123" i="4"/>
  <c r="S150" i="4"/>
  <c r="V150" i="4" s="1"/>
  <c r="M12" i="8" s="1"/>
  <c r="T156" i="4"/>
  <c r="T168" i="4"/>
  <c r="S177" i="4"/>
  <c r="V177" i="4" s="1"/>
  <c r="T180" i="4"/>
  <c r="T188" i="4"/>
  <c r="T202" i="4"/>
  <c r="U202" i="4"/>
  <c r="S209" i="4"/>
  <c r="V209" i="4" s="1"/>
  <c r="S223" i="4"/>
  <c r="V223" i="4" s="1"/>
  <c r="U252" i="4"/>
  <c r="U279" i="4"/>
  <c r="Q279" i="4"/>
  <c r="S282" i="4"/>
  <c r="V282" i="4" s="1"/>
  <c r="U175" i="4"/>
  <c r="R200" i="4"/>
  <c r="T210" i="4"/>
  <c r="U221" i="4"/>
  <c r="T262" i="4"/>
  <c r="S276" i="4"/>
  <c r="V276" i="4" s="1"/>
  <c r="Q283" i="4"/>
  <c r="U283" i="4"/>
  <c r="S292" i="4"/>
  <c r="V292" i="4" s="1"/>
  <c r="U159" i="4"/>
  <c r="S201" i="4"/>
  <c r="V201" i="4" s="1"/>
  <c r="U211" i="4"/>
  <c r="T214" i="4"/>
  <c r="Q242" i="4"/>
  <c r="T272" i="4"/>
  <c r="R274" i="4"/>
  <c r="R283" i="4"/>
  <c r="U286" i="4"/>
  <c r="Q139" i="4"/>
  <c r="Q158" i="4"/>
  <c r="Q175" i="4"/>
  <c r="S221" i="4"/>
  <c r="V221" i="4" s="1"/>
  <c r="Q221" i="4"/>
  <c r="T226" i="4"/>
  <c r="Q254" i="4"/>
  <c r="Q267" i="4"/>
  <c r="U267" i="4"/>
  <c r="U287" i="4"/>
  <c r="Q287" i="4"/>
  <c r="R290" i="4"/>
  <c r="U293" i="4"/>
  <c r="Q293" i="4"/>
  <c r="T260" i="4"/>
  <c r="Q277" i="4"/>
  <c r="S279" i="4"/>
  <c r="S284" i="4"/>
  <c r="S298" i="4"/>
  <c r="V298" i="4" s="1"/>
  <c r="S249" i="4"/>
  <c r="V249" i="4" s="1"/>
  <c r="S173" i="4"/>
  <c r="V173" i="4" s="1"/>
  <c r="T182" i="4"/>
  <c r="V182" i="4" s="1"/>
  <c r="U195" i="4"/>
  <c r="T198" i="4"/>
  <c r="Q251" i="4"/>
  <c r="U251" i="4"/>
  <c r="S256" i="4"/>
  <c r="V256" i="4" s="1"/>
  <c r="H9" i="8" s="1"/>
  <c r="T258" i="4"/>
  <c r="T278" i="4"/>
  <c r="Q155" i="4"/>
  <c r="S237" i="4"/>
  <c r="T242" i="4"/>
  <c r="U258" i="4"/>
  <c r="U262" i="4"/>
  <c r="R263" i="4"/>
  <c r="U278" i="4"/>
  <c r="S285" i="4"/>
  <c r="V285" i="4" s="1"/>
  <c r="T296" i="4"/>
  <c r="S205" i="4"/>
  <c r="V205" i="4" s="1"/>
  <c r="T218" i="4"/>
  <c r="S225" i="4"/>
  <c r="V225" i="4" s="1"/>
  <c r="T230" i="4"/>
  <c r="S253" i="4"/>
  <c r="V253" i="4" s="1"/>
  <c r="I6" i="8" s="1"/>
  <c r="S291" i="4"/>
  <c r="V291" i="4" s="1"/>
  <c r="R164" i="4"/>
  <c r="U227" i="4"/>
  <c r="Q233" i="4"/>
  <c r="U239" i="4"/>
  <c r="Q239" i="4"/>
  <c r="R247" i="4"/>
  <c r="U255" i="4"/>
  <c r="Q255" i="4"/>
  <c r="U274" i="4"/>
  <c r="T274" i="4"/>
  <c r="S301" i="4"/>
  <c r="V301" i="4" s="1"/>
  <c r="Q270" i="4"/>
  <c r="Q286" i="4"/>
  <c r="T300" i="4"/>
  <c r="Q301" i="4"/>
  <c r="T269" i="4"/>
  <c r="T285" i="4"/>
  <c r="C13" i="8" l="1"/>
  <c r="F13" i="7"/>
  <c r="I11" i="8"/>
  <c r="F35" i="10"/>
  <c r="F13" i="5"/>
  <c r="V128" i="4"/>
  <c r="N9" i="8" s="1"/>
  <c r="V216" i="4"/>
  <c r="V242" i="4"/>
  <c r="C9" i="9" s="1"/>
  <c r="V211" i="4"/>
  <c r="V262" i="4"/>
  <c r="V36" i="4"/>
  <c r="V61" i="4"/>
  <c r="E7" i="9" s="1"/>
  <c r="H7" i="9" s="1"/>
  <c r="V4" i="4"/>
  <c r="V158" i="4"/>
  <c r="F8" i="8" s="1"/>
  <c r="V44" i="4"/>
  <c r="V18" i="4"/>
  <c r="H6" i="8"/>
  <c r="C8" i="8"/>
  <c r="V300" i="4"/>
  <c r="M7" i="8" s="1"/>
  <c r="V235" i="4"/>
  <c r="V114" i="4"/>
  <c r="V86" i="4"/>
  <c r="V77" i="4"/>
  <c r="C6" i="7" s="1"/>
  <c r="V98" i="4"/>
  <c r="V84" i="4"/>
  <c r="G14" i="8"/>
  <c r="V54" i="4"/>
  <c r="V35" i="4"/>
  <c r="L9" i="8" s="1"/>
  <c r="V135" i="4"/>
  <c r="K14" i="8" s="1"/>
  <c r="K13" i="8"/>
  <c r="V217" i="4"/>
  <c r="C6" i="8" s="1"/>
  <c r="V236" i="4"/>
  <c r="V48" i="4"/>
  <c r="V112" i="4"/>
  <c r="E14" i="8"/>
  <c r="V138" i="4"/>
  <c r="F13" i="8" s="1"/>
  <c r="V6" i="4"/>
  <c r="D8" i="7" s="1"/>
  <c r="V100" i="4"/>
  <c r="D10" i="8" s="1"/>
  <c r="V240" i="4"/>
  <c r="V159" i="4"/>
  <c r="V283" i="4"/>
  <c r="V196" i="4"/>
  <c r="V195" i="4"/>
  <c r="V151" i="4"/>
  <c r="V244" i="4"/>
  <c r="V230" i="4"/>
  <c r="V107" i="4"/>
  <c r="V123" i="4"/>
  <c r="N12" i="8" s="1"/>
  <c r="E10" i="8"/>
  <c r="V104" i="4"/>
  <c r="V55" i="4"/>
  <c r="G7" i="8" s="1"/>
  <c r="V90" i="4"/>
  <c r="V191" i="4"/>
  <c r="E8" i="8" s="1"/>
  <c r="V141" i="4"/>
  <c r="J7" i="8" s="1"/>
  <c r="V40" i="4"/>
  <c r="V202" i="4"/>
  <c r="K12" i="8" s="1"/>
  <c r="V153" i="4"/>
  <c r="V275" i="4"/>
  <c r="L7" i="8" s="1"/>
  <c r="V190" i="4"/>
  <c r="N10" i="8" s="1"/>
  <c r="V29" i="4"/>
  <c r="V227" i="4"/>
  <c r="M14" i="8" s="1"/>
  <c r="V8" i="4"/>
  <c r="C10" i="8"/>
  <c r="V294" i="4"/>
  <c r="V252" i="4"/>
  <c r="V284" i="4"/>
  <c r="V290" i="4"/>
  <c r="V234" i="4"/>
  <c r="V269" i="4"/>
  <c r="V73" i="4"/>
  <c r="C12" i="8" s="1"/>
  <c r="V287" i="4"/>
  <c r="C8" i="7" s="1"/>
  <c r="V30" i="4"/>
  <c r="V296" i="4"/>
  <c r="V78" i="4"/>
  <c r="V180" i="4"/>
  <c r="V274" i="4"/>
  <c r="V118" i="4"/>
  <c r="I9" i="8" s="1"/>
  <c r="V279" i="4"/>
  <c r="D12" i="8" s="1"/>
  <c r="V237" i="4"/>
  <c r="L8" i="8" s="1"/>
  <c r="V263" i="4"/>
  <c r="V41" i="4"/>
  <c r="C39" i="10" s="1"/>
  <c r="V188" i="4"/>
  <c r="V62" i="4"/>
  <c r="G11" i="7" s="1"/>
  <c r="V12" i="4"/>
  <c r="V207" i="4"/>
  <c r="E11" i="8" s="1"/>
  <c r="I12" i="8"/>
  <c r="V214" i="4"/>
  <c r="C14" i="8" s="1"/>
  <c r="V81" i="4"/>
  <c r="D7" i="8" s="1"/>
  <c r="V218" i="4"/>
  <c r="E12" i="7" s="1"/>
  <c r="V198" i="4"/>
  <c r="M8" i="8" s="1"/>
  <c r="V251" i="4"/>
  <c r="H7" i="8" s="1"/>
  <c r="V270" i="4"/>
  <c r="L6" i="8" s="1"/>
  <c r="V213" i="4"/>
  <c r="V259" i="4"/>
  <c r="V19" i="4"/>
  <c r="V11" i="4"/>
  <c r="V144" i="4"/>
  <c r="F12" i="5"/>
  <c r="V176" i="4"/>
  <c r="V167" i="4"/>
  <c r="D8" i="8" s="1"/>
  <c r="V254" i="4"/>
  <c r="V157" i="4"/>
  <c r="V146" i="4"/>
  <c r="C11" i="8" s="1"/>
  <c r="V165" i="4"/>
  <c r="V124" i="4"/>
  <c r="I13" i="8" s="1"/>
  <c r="V183" i="4"/>
  <c r="V272" i="4"/>
  <c r="V258" i="4"/>
  <c r="D13" i="7" s="1"/>
  <c r="V136" i="4"/>
  <c r="N7" i="8" s="1"/>
  <c r="V34" i="4"/>
  <c r="C38" i="10" s="1"/>
  <c r="V22" i="4"/>
  <c r="F10" i="5"/>
  <c r="V2" i="4"/>
  <c r="E15" i="8" l="1"/>
  <c r="K33" i="10" s="1"/>
  <c r="M15" i="8"/>
  <c r="S33" i="10" s="1"/>
  <c r="H6" i="7"/>
  <c r="E7" i="7"/>
  <c r="O13" i="8"/>
  <c r="D9" i="7"/>
  <c r="C34" i="10"/>
  <c r="F6" i="9"/>
  <c r="C41" i="10" s="1"/>
  <c r="F37" i="10"/>
  <c r="E6" i="9"/>
  <c r="H6" i="9" s="1"/>
  <c r="D6" i="9"/>
  <c r="I6" i="7"/>
  <c r="G6" i="7"/>
  <c r="M13" i="8"/>
  <c r="E6" i="7"/>
  <c r="G10" i="7"/>
  <c r="C36" i="10"/>
  <c r="L15" i="8"/>
  <c r="R33" i="10" s="1"/>
  <c r="C10" i="7"/>
  <c r="O7" i="8"/>
  <c r="F8" i="9"/>
  <c r="C43" i="10" s="1"/>
  <c r="E12" i="8"/>
  <c r="C9" i="7"/>
  <c r="F9" i="9"/>
  <c r="C44" i="10" s="1"/>
  <c r="N8" i="8"/>
  <c r="N15" i="8" s="1"/>
  <c r="T33" i="10" s="1"/>
  <c r="G13" i="7"/>
  <c r="E8" i="9"/>
  <c r="I13" i="7"/>
  <c r="D9" i="9"/>
  <c r="D13" i="8"/>
  <c r="N5" i="10"/>
  <c r="G10" i="9"/>
  <c r="H10" i="9" s="1"/>
  <c r="F12" i="7"/>
  <c r="F14" i="8"/>
  <c r="O14" i="8" s="1"/>
  <c r="G12" i="7"/>
  <c r="J12" i="8"/>
  <c r="D7" i="7"/>
  <c r="H14" i="8"/>
  <c r="I8" i="7"/>
  <c r="C6" i="9"/>
  <c r="D10" i="7"/>
  <c r="K9" i="8"/>
  <c r="K15" i="8" s="1"/>
  <c r="Q33" i="10" s="1"/>
  <c r="D11" i="7"/>
  <c r="G8" i="7"/>
  <c r="H8" i="8"/>
  <c r="E10" i="9"/>
  <c r="G9" i="7"/>
  <c r="E9" i="9"/>
  <c r="H9" i="9" s="1"/>
  <c r="J11" i="8"/>
  <c r="J15" i="8" s="1"/>
  <c r="P33" i="10" s="1"/>
  <c r="F8" i="7"/>
  <c r="C35" i="10"/>
  <c r="F36" i="10"/>
  <c r="F7" i="7"/>
  <c r="G8" i="8"/>
  <c r="L10" i="8"/>
  <c r="N14" i="8"/>
  <c r="D12" i="7"/>
  <c r="F34" i="10"/>
  <c r="I12" i="7"/>
  <c r="H10" i="8"/>
  <c r="H15" i="8" s="1"/>
  <c r="N33" i="10" s="1"/>
  <c r="I10" i="8"/>
  <c r="I15" i="8" s="1"/>
  <c r="O33" i="10" s="1"/>
  <c r="I11" i="7"/>
  <c r="E11" i="7"/>
  <c r="G12" i="8"/>
  <c r="O12" i="8" s="1"/>
  <c r="C33" i="10"/>
  <c r="F6" i="8"/>
  <c r="F15" i="8" s="1"/>
  <c r="L33" i="10" s="1"/>
  <c r="F11" i="7"/>
  <c r="C9" i="8"/>
  <c r="O9" i="8" s="1"/>
  <c r="G7" i="7"/>
  <c r="E8" i="7"/>
  <c r="H8" i="7" s="1"/>
  <c r="G8" i="9"/>
  <c r="H8" i="9" s="1"/>
  <c r="I9" i="7"/>
  <c r="E5" i="10"/>
  <c r="B5" i="10"/>
  <c r="C18" i="5"/>
  <c r="C19" i="5" s="1"/>
  <c r="Q5" i="10"/>
  <c r="K5" i="10"/>
  <c r="D7" i="9"/>
  <c r="C7" i="9"/>
  <c r="F33" i="10"/>
  <c r="I7" i="7"/>
  <c r="C7" i="7"/>
  <c r="H7" i="7" s="1"/>
  <c r="C37" i="10"/>
  <c r="F10" i="8"/>
  <c r="O10" i="8" s="1"/>
  <c r="H5" i="10"/>
  <c r="F7" i="9"/>
  <c r="C42" i="10" s="1"/>
  <c r="M9" i="8"/>
  <c r="G13" i="8"/>
  <c r="L11" i="8"/>
  <c r="C13" i="7"/>
  <c r="H13" i="7" s="1"/>
  <c r="C8" i="9"/>
  <c r="D6" i="7"/>
  <c r="D14" i="7" s="1"/>
  <c r="O8" i="8"/>
  <c r="N11" i="8"/>
  <c r="D10" i="9"/>
  <c r="C10" i="9"/>
  <c r="F10" i="9"/>
  <c r="C45" i="10" s="1"/>
  <c r="D6" i="8"/>
  <c r="D15" i="8" s="1"/>
  <c r="J33" i="10" s="1"/>
  <c r="F10" i="7"/>
  <c r="F6" i="7"/>
  <c r="F11" i="8"/>
  <c r="O11" i="8" s="1"/>
  <c r="D8" i="9"/>
  <c r="I10" i="7"/>
  <c r="E14" i="7" l="1"/>
  <c r="G15" i="8"/>
  <c r="M33" i="10" s="1"/>
  <c r="H11" i="7"/>
  <c r="G14" i="7"/>
  <c r="I14" i="7"/>
  <c r="H12" i="7"/>
  <c r="H10" i="7"/>
  <c r="C14" i="7"/>
  <c r="H9" i="7"/>
  <c r="H14" i="7" s="1"/>
  <c r="C15" i="8"/>
  <c r="I33" i="10" s="1"/>
  <c r="F14" i="7"/>
  <c r="O6" i="8"/>
  <c r="O15" i="8" s="1"/>
</calcChain>
</file>

<file path=xl/sharedStrings.xml><?xml version="1.0" encoding="utf-8"?>
<sst xmlns="http://schemas.openxmlformats.org/spreadsheetml/2006/main" count="3600" uniqueCount="1172">
  <si>
    <t>Defense Logistics Requisition &amp; Inventory Analytics</t>
  </si>
  <si>
    <t>End-to-end Excel Data Analyst project — raw data → cleaning → validation → pivot analysis → dashboard</t>
  </si>
  <si>
    <t>⚠ IMPORTANT: All data in this workbook is synthetic and fictional, generated for portfolio/demonstration purposes only. It does not represent real Indian Army operations, units, procurement records, or any classified information.</t>
  </si>
  <si>
    <t>Project Objective</t>
  </si>
  <si>
    <t>Simulates the requisition (supply-request) workflow across 8 logistics units and 5 regions: units raise requests for stores (rations, spares, medical supplies, communication equipment, etc.), requests get approved/rejected, and approved items get dispatched and delivered. The workbook answers questions a Data Analyst would be asked to answer from a raw export of this kind of system.</t>
  </si>
  <si>
    <t>Business Questions Answered</t>
  </si>
  <si>
    <t>• Which units and regions generate the most requisition volume and cost?</t>
  </si>
  <si>
    <t>• Which item categories account for the largest share of approved spend, and how does spend trend month to month?</t>
  </si>
  <si>
    <t>• How reliable is delivery performance by region — what's the average delay, and what % of deliveries are on time?</t>
  </si>
  <si>
    <t>• How much of the raw data is trustworthy, and what specifically is wrong with the rest?</t>
  </si>
  <si>
    <t>How the Workbook Is Organized</t>
  </si>
  <si>
    <t>Raw_Data</t>
  </si>
  <si>
    <t>The messy "as-exported" dataset (300 requisitions) — mixed date formats, currency symbols, typos, inconsistent casing, duplicates, missing values, and logic errors. Left untouched, as a record of the source.</t>
  </si>
  <si>
    <t>Lookup_Tables</t>
  </si>
  <si>
    <t>Messy-value → canonical-value maps for Category / Status / Region, used by Cleaned_Data via INDEX/MATCH to fix genuine misspellings (not just casing).</t>
  </si>
  <si>
    <t>Cleaned_Data</t>
  </si>
  <si>
    <t>The full cleaning pipeline, entirely formula-driven — every cell recalculates if Raw_Data changes. Adds parsed dates, parsed costs, standardized text, a computed Total_Cost and Delay_Days, and 4 audit flag columns (Is_Duplicate, Missing_Critical_Data, Logic_Error_Flag, Include_In_Analysis) that gate what feeds the analysis downstream.</t>
  </si>
  <si>
    <t>Data_Cleaning_Log</t>
  </si>
  <si>
    <t>A plain-English log of every issue type found, the exact technique used to fix it, and a live formula count of affected rows — useful both as documentation and as interview talking points.</t>
  </si>
  <si>
    <t>New_Entry_Form</t>
  </si>
  <si>
    <t>A forward-looking data entry template with dropdown lists and range checks (Excel Data Validation) so the same messiness can't enter the system again.</t>
  </si>
  <si>
    <t>Pivot_Unit_Status</t>
  </si>
  <si>
    <t>Cross-tab of requisition count and cost by Unit × Status (SUMIFS/COUNTIFS).</t>
  </si>
  <si>
    <t>Pivot_Category_Month</t>
  </si>
  <si>
    <t>Cross-tab of total cost by Item Category × Month (SUMIFS).</t>
  </si>
  <si>
    <t>Pivot_Region_Delay</t>
  </si>
  <si>
    <t>Delivery performance by region — average delay and % on-time (AVERAGEIFS/COUNTIFS).</t>
  </si>
  <si>
    <t>Dashboard</t>
  </si>
  <si>
    <t>KPI summary + 4 charts (cost by category, requisitions by status, monthly cost trend, avg delay by region), all formula-driven from Cleaned_Data.</t>
  </si>
  <si>
    <t>Techniques Demonstrated</t>
  </si>
  <si>
    <t>• Data cleaning: TRIM, PROPER, SUBSTITUTE, VALUE, IFERROR, ISNUMBER</t>
  </si>
  <si>
    <t>• Standardization at scale: INDEX/MATCH lookup tables for typo correction</t>
  </si>
  <si>
    <t>• Robust date parsing across 3 source formats, including a fixed-width workaround for a real DD/MM/YYYY-vs-locale bug that DATEVALUE alone gets wrong</t>
  </si>
  <si>
    <t>• Data validation: dropdown lists, whole-number/decimal/date range rules on a live entry form</t>
  </si>
  <si>
    <t>• Pivot-style analysis: SUMIFS, COUNTIFS, AVERAGEIFS cross-tabs</t>
  </si>
  <si>
    <t>• KPI dashboard with native Excel charts (bar, pie, line), all formula-linked to source data</t>
  </si>
  <si>
    <t>• Data quality gating: a single Include_In_Analysis flag keeps bad rows out of every downstream number</t>
  </si>
  <si>
    <t>How to Use / Extend This Workbook</t>
  </si>
  <si>
    <t>Everything downstream of Raw_Data is a live formula. To test it: change a value in Raw_Data, open the file in Excel, and press Ctrl+Alt+F9 (full recalculate) — Cleaned_Data, the pivots, the cleaning log counts, and the dashboard will all update. To add real ongoing data, use the New_Entry_Form sheet (dropdowns prevent most of the messiness this project had to clean up).</t>
  </si>
  <si>
    <t>Req_ID</t>
  </si>
  <si>
    <t>Request_Date</t>
  </si>
  <si>
    <t>Unit</t>
  </si>
  <si>
    <t>Region</t>
  </si>
  <si>
    <t>Item_Category</t>
  </si>
  <si>
    <t>Item_Name</t>
  </si>
  <si>
    <t>Quantity_Requested</t>
  </si>
  <si>
    <t>Quantity_Approved</t>
  </si>
  <si>
    <t>Unit_Cost_INR</t>
  </si>
  <si>
    <t>Priority</t>
  </si>
  <si>
    <t>Status</t>
  </si>
  <si>
    <t>Requested_By_Role</t>
  </si>
  <si>
    <t>Approval_Date</t>
  </si>
  <si>
    <t>Expected_Delivery_Date</t>
  </si>
  <si>
    <t>Actual_Delivery_Date</t>
  </si>
  <si>
    <t>Vendor_Supply_Source</t>
  </si>
  <si>
    <t>REQ-2025-0001</t>
  </si>
  <si>
    <t>25/04/2025</t>
  </si>
  <si>
    <t>Unit B - Artillery</t>
  </si>
  <si>
    <t>southern</t>
  </si>
  <si>
    <t>communication equipment</t>
  </si>
  <si>
    <t>Signal Cable (100m)</t>
  </si>
  <si>
    <t>HIGH</t>
  </si>
  <si>
    <t>PENDING</t>
  </si>
  <si>
    <t>Quartermaster</t>
  </si>
  <si>
    <t>REQ-2025-0002</t>
  </si>
  <si>
    <t>UNIT B - ARTILLERY</t>
  </si>
  <si>
    <t>SOUTHERN</t>
  </si>
  <si>
    <t>FUEL &amp; LUBRICANTS</t>
  </si>
  <si>
    <t>Kerosene (Drum 200L)</t>
  </si>
  <si>
    <t>₹27,891</t>
  </si>
  <si>
    <t>routine</t>
  </si>
  <si>
    <t>delivered</t>
  </si>
  <si>
    <t>22/05/2025</t>
  </si>
  <si>
    <t>14/06/2025</t>
  </si>
  <si>
    <t>SENA SUPPLY CO</t>
  </si>
  <si>
    <t>REQ-2025-0003</t>
  </si>
  <si>
    <t xml:space="preserve">  Unit G - Transport Corps  </t>
  </si>
  <si>
    <t>Southern</t>
  </si>
  <si>
    <t>TENTS &amp; SHELTER</t>
  </si>
  <si>
    <t>Tarpaulin Sheet</t>
  </si>
  <si>
    <t>High</t>
  </si>
  <si>
    <t>approved</t>
  </si>
  <si>
    <t>Logistics Officer</t>
  </si>
  <si>
    <t>23/01/2026</t>
  </si>
  <si>
    <t>Om Suppliers</t>
  </si>
  <si>
    <t>REQ-2025-0004</t>
  </si>
  <si>
    <t>02-Feb-2025</t>
  </si>
  <si>
    <t>unit c - engineers</t>
  </si>
  <si>
    <t>EASTERN</t>
  </si>
  <si>
    <t>Construciton Material</t>
  </si>
  <si>
    <t>Barbed Wire Roll</t>
  </si>
  <si>
    <t xml:space="preserve">  Routine  </t>
  </si>
  <si>
    <t>Rejected</t>
  </si>
  <si>
    <t xml:space="preserve">  Stores Officer  </t>
  </si>
  <si>
    <t>shakti traders</t>
  </si>
  <si>
    <t>REQ-2025-0005</t>
  </si>
  <si>
    <t xml:space="preserve">  Unit C - Engineers  </t>
  </si>
  <si>
    <t>Eastern</t>
  </si>
  <si>
    <t>10-Man Tent</t>
  </si>
  <si>
    <t>10,889.44</t>
  </si>
  <si>
    <t>high</t>
  </si>
  <si>
    <t>APPROVED</t>
  </si>
  <si>
    <t xml:space="preserve">  Quartermaster  </t>
  </si>
  <si>
    <t>07/11/2025</t>
  </si>
  <si>
    <t>Sena Supply Co</t>
  </si>
  <si>
    <t>REQ-2025-0006</t>
  </si>
  <si>
    <t>03-Mar-2025</t>
  </si>
  <si>
    <t>Unit F - Ordnance Depot</t>
  </si>
  <si>
    <t>Nothern</t>
  </si>
  <si>
    <t xml:space="preserve">  Tents &amp; Shelter  </t>
  </si>
  <si>
    <t>Tent Poles Set</t>
  </si>
  <si>
    <t>3,334.04</t>
  </si>
  <si>
    <t xml:space="preserve">  Approved  </t>
  </si>
  <si>
    <t>stores officer</t>
  </si>
  <si>
    <t>16/03/2025</t>
  </si>
  <si>
    <t>sena supply co</t>
  </si>
  <si>
    <t>REQ-2025-0007</t>
  </si>
  <si>
    <t>Unit A - Infantry</t>
  </si>
  <si>
    <t>Northern</t>
  </si>
  <si>
    <t>Vehicle Spares</t>
  </si>
  <si>
    <t>Truck Tyre 900x20</t>
  </si>
  <si>
    <t>₹12,643</t>
  </si>
  <si>
    <t>LOGISTICS OFFICER</t>
  </si>
  <si>
    <t>06-Aug-2025</t>
  </si>
  <si>
    <t>15-Aug-2025</t>
  </si>
  <si>
    <t>REQ-2025-0008</t>
  </si>
  <si>
    <t>30-Jan-2025</t>
  </si>
  <si>
    <t>UNIT H - AIR DEFENCE</t>
  </si>
  <si>
    <t>Communication Equipment</t>
  </si>
  <si>
    <t>Dispatched</t>
  </si>
  <si>
    <t>21/02/2025</t>
  </si>
  <si>
    <t>REQ-2025-0009</t>
  </si>
  <si>
    <t>11-Jun-2025</t>
  </si>
  <si>
    <t>Unit C - Engineers</t>
  </si>
  <si>
    <t>Antenna Unit</t>
  </si>
  <si>
    <t>03/07/2025</t>
  </si>
  <si>
    <t>02-Jul-2025</t>
  </si>
  <si>
    <t>OM SUPPLIERS</t>
  </si>
  <si>
    <t>REQ-2025-0010</t>
  </si>
  <si>
    <t>25-May-2025</t>
  </si>
  <si>
    <t>UNIFORMS &amp; CLOTHING</t>
  </si>
  <si>
    <t>Field Boots (Pair)</t>
  </si>
  <si>
    <t>40,754.34</t>
  </si>
  <si>
    <t>Low</t>
  </si>
  <si>
    <t>rapid vendors ltd</t>
  </si>
  <si>
    <t>REQ-2025-0011</t>
  </si>
  <si>
    <t>18-Apr-2025</t>
  </si>
  <si>
    <t>UNIT A - INFANTRY</t>
  </si>
  <si>
    <t>northern</t>
  </si>
  <si>
    <t>Rations</t>
  </si>
  <si>
    <t>Rice (50kg bag)</t>
  </si>
  <si>
    <t>Stores Officer</t>
  </si>
  <si>
    <t>02-May-2025</t>
  </si>
  <si>
    <t>National Defence Stores</t>
  </si>
  <si>
    <t>REQ-2025-0012</t>
  </si>
  <si>
    <t>Unit D - Signals</t>
  </si>
  <si>
    <t>WESTERN</t>
  </si>
  <si>
    <t>Medical Supplies</t>
  </si>
  <si>
    <t>Antiseptic Solution (5L)</t>
  </si>
  <si>
    <t>₹24,199</t>
  </si>
  <si>
    <t xml:space="preserve">  High  </t>
  </si>
  <si>
    <t>27-Jun-2025</t>
  </si>
  <si>
    <t>Shakti Traders</t>
  </si>
  <si>
    <t>REQ-2025-0013</t>
  </si>
  <si>
    <t>16/11/2025</t>
  </si>
  <si>
    <t>unit d - signals</t>
  </si>
  <si>
    <t>vehicle spares</t>
  </si>
  <si>
    <t>Engine Oil Filter</t>
  </si>
  <si>
    <t>19/11/2025</t>
  </si>
  <si>
    <t>30/11/2025</t>
  </si>
  <si>
    <t>Rapid Vendors Ltd</t>
  </si>
  <si>
    <t>REQ-2025-0014</t>
  </si>
  <si>
    <t>Headset Set</t>
  </si>
  <si>
    <t>₹36,324</t>
  </si>
  <si>
    <t xml:space="preserve">  Low  </t>
  </si>
  <si>
    <t>DISPATCHED</t>
  </si>
  <si>
    <t>09-Dec-2025</t>
  </si>
  <si>
    <t>BHARAT LOGISTICS PVT LTD</t>
  </si>
  <si>
    <t>REQ-2025-0015</t>
  </si>
  <si>
    <t>22-Aug-2025</t>
  </si>
  <si>
    <t>unit h - air defence</t>
  </si>
  <si>
    <t>eastern</t>
  </si>
  <si>
    <t>First Aid Kit</t>
  </si>
  <si>
    <t>19,999.42</t>
  </si>
  <si>
    <t>Routine</t>
  </si>
  <si>
    <t xml:space="preserve">  Pending  </t>
  </si>
  <si>
    <t>STORES OFFICER</t>
  </si>
  <si>
    <t>REQ-2025-0016</t>
  </si>
  <si>
    <t>11/02/2025</t>
  </si>
  <si>
    <t>western</t>
  </si>
  <si>
    <t>Fuel  &amp;  Lubricants</t>
  </si>
  <si>
    <t>Medium</t>
  </si>
  <si>
    <t>pending</t>
  </si>
  <si>
    <t>unit commander</t>
  </si>
  <si>
    <t>REQ-2025-0017</t>
  </si>
  <si>
    <t>23-Apr-2025</t>
  </si>
  <si>
    <t>Ground Sheet</t>
  </si>
  <si>
    <t>18,283.60</t>
  </si>
  <si>
    <t>LOW</t>
  </si>
  <si>
    <t xml:space="preserve">  Dispatched  </t>
  </si>
  <si>
    <t>26-Apr-2025</t>
  </si>
  <si>
    <t>national defence stores</t>
  </si>
  <si>
    <t>REQ-2025-0018</t>
  </si>
  <si>
    <t>29/06/2025</t>
  </si>
  <si>
    <t>Unit  B  -  Artillery</t>
  </si>
  <si>
    <t>QUARTERMASTER</t>
  </si>
  <si>
    <t>12/07/2025</t>
  </si>
  <si>
    <t>central ordnance suppliers</t>
  </si>
  <si>
    <t>REQ-2025-0019</t>
  </si>
  <si>
    <t xml:space="preserve">  Western  </t>
  </si>
  <si>
    <t>MEDICAL SUPPLIES</t>
  </si>
  <si>
    <t>29,192.31</t>
  </si>
  <si>
    <t xml:space="preserve">  Delivered  </t>
  </si>
  <si>
    <t>24/12/2025</t>
  </si>
  <si>
    <t>REQ-2025-0020</t>
  </si>
  <si>
    <t>09/11/2025</t>
  </si>
  <si>
    <t xml:space="preserve">  Unit H - Air Defence  </t>
  </si>
  <si>
    <t>Office  &amp;  IT  Equipment</t>
  </si>
  <si>
    <t>UPS Backup Unit</t>
  </si>
  <si>
    <t>₹35,933</t>
  </si>
  <si>
    <t>15/11/2025</t>
  </si>
  <si>
    <t>12/12/2025</t>
  </si>
  <si>
    <t xml:space="preserve">  Shakti Traders  </t>
  </si>
  <si>
    <t>REQ-2025-0021</t>
  </si>
  <si>
    <t>26/12/2025</t>
  </si>
  <si>
    <t>unit g - transport corps</t>
  </si>
  <si>
    <t>Central</t>
  </si>
  <si>
    <t>Fuel &amp; Lubricants</t>
  </si>
  <si>
    <t>Engine Grease (5kg)</t>
  </si>
  <si>
    <t>low</t>
  </si>
  <si>
    <t>Vikram Enterprises</t>
  </si>
  <si>
    <t>REQ-2025-0022</t>
  </si>
  <si>
    <t>Unit H - Air Defence</t>
  </si>
  <si>
    <t>rations</t>
  </si>
  <si>
    <t>Cooking Oil (15L)</t>
  </si>
  <si>
    <t>28/05/2025</t>
  </si>
  <si>
    <t>Central Ordnance Suppliers</t>
  </si>
  <si>
    <t>REQ-2025-0023</t>
  </si>
  <si>
    <t>UNIT E - MEDICAL CORPS</t>
  </si>
  <si>
    <t xml:space="preserve">  Logistics Officer  </t>
  </si>
  <si>
    <t>11-Mar-2025</t>
  </si>
  <si>
    <t>20-Mar-2025</t>
  </si>
  <si>
    <t>TBD</t>
  </si>
  <si>
    <t>REQ-2025-0024</t>
  </si>
  <si>
    <t>05/03/2025</t>
  </si>
  <si>
    <t>Communication  Equipment</t>
  </si>
  <si>
    <t xml:space="preserve">  Unit Commander  </t>
  </si>
  <si>
    <t>om suppliers</t>
  </si>
  <si>
    <t>REQ-2025-0025</t>
  </si>
  <si>
    <t>Western</t>
  </si>
  <si>
    <t>Hydraulic Fluid (20L)</t>
  </si>
  <si>
    <t>Approved</t>
  </si>
  <si>
    <t>CENTRAL ORDNANCE SUPPLIERS</t>
  </si>
  <si>
    <t>REQ-2025-0026</t>
  </si>
  <si>
    <t>15/01/2025</t>
  </si>
  <si>
    <t>Unit E - Medical Corps</t>
  </si>
  <si>
    <t>central</t>
  </si>
  <si>
    <t>Office &amp; IT Equipment</t>
  </si>
  <si>
    <t>Desktop Computer</t>
  </si>
  <si>
    <t>₹44,653</t>
  </si>
  <si>
    <t>medium</t>
  </si>
  <si>
    <t>Delivered</t>
  </si>
  <si>
    <t>05-Feb-2025</t>
  </si>
  <si>
    <t xml:space="preserve">  National Defence Stores  </t>
  </si>
  <si>
    <t>REQ-2025-0027</t>
  </si>
  <si>
    <t>24/10/2025</t>
  </si>
  <si>
    <t>NORTHERN</t>
  </si>
  <si>
    <t>01/11/2025</t>
  </si>
  <si>
    <t>17-Nov-2025</t>
  </si>
  <si>
    <t>vikram enterprises</t>
  </si>
  <si>
    <t>REQ-2025-0028</t>
  </si>
  <si>
    <t>02-Dec-2025</t>
  </si>
  <si>
    <t xml:space="preserve">  Eastern  </t>
  </si>
  <si>
    <t>Uniforms  &amp;  Clothing</t>
  </si>
  <si>
    <t>Rain Poncho</t>
  </si>
  <si>
    <t>₹29,295</t>
  </si>
  <si>
    <t>Unit Commander</t>
  </si>
  <si>
    <t>08/12/2025</t>
  </si>
  <si>
    <t>RAPID VENDORS LTD</t>
  </si>
  <si>
    <t>REQ-2025-0029</t>
  </si>
  <si>
    <t>11/07/2025</t>
  </si>
  <si>
    <t>UNIT F - ORDNANCE DEPOT</t>
  </si>
  <si>
    <t>Battery Pack (Radio)</t>
  </si>
  <si>
    <t>₹8,002</t>
  </si>
  <si>
    <t>UNIT COMMANDER</t>
  </si>
  <si>
    <t>REQ-2025-0030</t>
  </si>
  <si>
    <t>Unit  E  -  Medical  Corps</t>
  </si>
  <si>
    <t>Sandbag (Pack of 50)</t>
  </si>
  <si>
    <t>DELIVERED</t>
  </si>
  <si>
    <t>01-Sep-2025</t>
  </si>
  <si>
    <t>17-Sep-2025</t>
  </si>
  <si>
    <t>REQ-2025-0031</t>
  </si>
  <si>
    <t>18-Jan-2025</t>
  </si>
  <si>
    <t>unit b - artillery</t>
  </si>
  <si>
    <t xml:space="preserve">  Northern  </t>
  </si>
  <si>
    <t>₹6,077</t>
  </si>
  <si>
    <t>27-Jan-2025</t>
  </si>
  <si>
    <t>12-Feb-2025</t>
  </si>
  <si>
    <t>REQ-2025-0032</t>
  </si>
  <si>
    <t>Unit G - Transport Corps</t>
  </si>
  <si>
    <t>rejected</t>
  </si>
  <si>
    <t>REQ-2025-0033</t>
  </si>
  <si>
    <t>fuel &amp; lubricants</t>
  </si>
  <si>
    <t>MEDIUM</t>
  </si>
  <si>
    <t>REQ-2025-0034</t>
  </si>
  <si>
    <t>17-Oct-2025</t>
  </si>
  <si>
    <t xml:space="preserve">  Unit A - Infantry  </t>
  </si>
  <si>
    <t>Surgical Gloves (Box)</t>
  </si>
  <si>
    <t>40,538.82</t>
  </si>
  <si>
    <t>logistics officer</t>
  </si>
  <si>
    <t>N/A</t>
  </si>
  <si>
    <t>REQ-2025-0035</t>
  </si>
  <si>
    <t>31/10/2025</t>
  </si>
  <si>
    <t>39,034.09</t>
  </si>
  <si>
    <t>quartermaster</t>
  </si>
  <si>
    <t xml:space="preserve">    </t>
  </si>
  <si>
    <t>REQ-2025-0036</t>
  </si>
  <si>
    <t>21-Aug-2025</t>
  </si>
  <si>
    <t>unit f - ordnance depot</t>
  </si>
  <si>
    <t>tents &amp; shelter</t>
  </si>
  <si>
    <t>Camouflage Net</t>
  </si>
  <si>
    <t>₹34,638</t>
  </si>
  <si>
    <t>12/09/2025</t>
  </si>
  <si>
    <t>REQ-2025-0037</t>
  </si>
  <si>
    <t>23/06/2025</t>
  </si>
  <si>
    <t>17/07/2025</t>
  </si>
  <si>
    <t>21/07/2025</t>
  </si>
  <si>
    <t>REQ-2025-0038</t>
  </si>
  <si>
    <t xml:space="preserve">  Unit E - Medical Corps  </t>
  </si>
  <si>
    <t xml:space="preserve">  Central  </t>
  </si>
  <si>
    <t>₹33,382</t>
  </si>
  <si>
    <t>REQ-2025-0039</t>
  </si>
  <si>
    <t>Unit  G  -  Transport  Corps</t>
  </si>
  <si>
    <t>southren</t>
  </si>
  <si>
    <t>Filing Cabinet</t>
  </si>
  <si>
    <t>31/05/2025</t>
  </si>
  <si>
    <t>REQ-2025-0040</t>
  </si>
  <si>
    <t>24-Aug-2025</t>
  </si>
  <si>
    <t>Construction  Material</t>
  </si>
  <si>
    <t>Cement Bag (50kg)</t>
  </si>
  <si>
    <t>18,315.70</t>
  </si>
  <si>
    <t>09/09/2025</t>
  </si>
  <si>
    <t>29-Sep-2025</t>
  </si>
  <si>
    <t>REQ-2025-0041</t>
  </si>
  <si>
    <t>12-Apr-2025</t>
  </si>
  <si>
    <t>uniforms &amp; clothing</t>
  </si>
  <si>
    <t>₹25,434</t>
  </si>
  <si>
    <t xml:space="preserve">  Medium  </t>
  </si>
  <si>
    <t>11-May-2025</t>
  </si>
  <si>
    <t>Om  Suppliers</t>
  </si>
  <si>
    <t>REQ-2025-0042</t>
  </si>
  <si>
    <t xml:space="preserve">  Southern  </t>
  </si>
  <si>
    <t>21/09/2025</t>
  </si>
  <si>
    <t>REQ-2025-0043</t>
  </si>
  <si>
    <t>08/06/2025</t>
  </si>
  <si>
    <t>ROUTINE</t>
  </si>
  <si>
    <t>09/07/2025</t>
  </si>
  <si>
    <t>REQ-2025-0044</t>
  </si>
  <si>
    <t>UNIT C - ENGINEERS</t>
  </si>
  <si>
    <t>Winter Jacket</t>
  </si>
  <si>
    <t>25/05/2025</t>
  </si>
  <si>
    <t>REQ-2025-0045</t>
  </si>
  <si>
    <t>05-Mar-2025</t>
  </si>
  <si>
    <t>VEHICLE SPARES</t>
  </si>
  <si>
    <t>Clutch Plate</t>
  </si>
  <si>
    <t>₹42,597</t>
  </si>
  <si>
    <t>09-Mar-2025</t>
  </si>
  <si>
    <t>28/03/2025</t>
  </si>
  <si>
    <t>REQ-2025-0046</t>
  </si>
  <si>
    <t>RATIONS</t>
  </si>
  <si>
    <t>Dry Ration Pack</t>
  </si>
  <si>
    <t>₹10,844</t>
  </si>
  <si>
    <t>20-Jan-2025</t>
  </si>
  <si>
    <t xml:space="preserve">  Sena Supply Co  </t>
  </si>
  <si>
    <t>REQ-2025-0047</t>
  </si>
  <si>
    <t>22-Nov-2025</t>
  </si>
  <si>
    <t>₹15,614</t>
  </si>
  <si>
    <t>REQ-2025-0048</t>
  </si>
  <si>
    <t>unit e - medical corps</t>
  </si>
  <si>
    <t>medical supplies</t>
  </si>
  <si>
    <t>07/07/2025</t>
  </si>
  <si>
    <t>12-Jul-2025</t>
  </si>
  <si>
    <t>REQ-2025-0049</t>
  </si>
  <si>
    <t>17/08/2025</t>
  </si>
  <si>
    <t>27-Aug-2025</t>
  </si>
  <si>
    <t>Shakti  Traders</t>
  </si>
  <si>
    <t>REQ-2025-0050</t>
  </si>
  <si>
    <t>16-Aug-2025</t>
  </si>
  <si>
    <t>19/09/2025</t>
  </si>
  <si>
    <t>REQ-2025-0051</t>
  </si>
  <si>
    <t>Unit  F  -  Ordnance  Depot</t>
  </si>
  <si>
    <t>Tents &amp; Shelter</t>
  </si>
  <si>
    <t>Logistics  Officer</t>
  </si>
  <si>
    <t xml:space="preserve">  Bharat Logistics Pvt Ltd  </t>
  </si>
  <si>
    <t>REQ-2025-0052</t>
  </si>
  <si>
    <t>10-Aug-2025</t>
  </si>
  <si>
    <t>31,963.55</t>
  </si>
  <si>
    <t>16/08/2025</t>
  </si>
  <si>
    <t>06-Sep-2025</t>
  </si>
  <si>
    <t>REQ-2025-0053</t>
  </si>
  <si>
    <t>COMMUNICATION EQUIPMENT</t>
  </si>
  <si>
    <t>43,055.76</t>
  </si>
  <si>
    <t>REQ-2025-0054</t>
  </si>
  <si>
    <t>04-May-2025</t>
  </si>
  <si>
    <t>38,907.75</t>
  </si>
  <si>
    <t>11/05/2025</t>
  </si>
  <si>
    <t>National  Defence  Stores</t>
  </si>
  <si>
    <t>REQ-2025-0055</t>
  </si>
  <si>
    <t>Pending</t>
  </si>
  <si>
    <t>Stores  Officer</t>
  </si>
  <si>
    <t>VIKRAM ENTERPRISES</t>
  </si>
  <si>
    <t>REQ-2025-0056</t>
  </si>
  <si>
    <t>12/03/2025</t>
  </si>
  <si>
    <t xml:space="preserve">  Rations  </t>
  </si>
  <si>
    <t>15/03/2025</t>
  </si>
  <si>
    <t>01/04/2025</t>
  </si>
  <si>
    <t>REQ-2025-0057</t>
  </si>
  <si>
    <t xml:space="preserve">  Office &amp; IT Equipment  </t>
  </si>
  <si>
    <t>Laser Printer</t>
  </si>
  <si>
    <t>16-Oct-2025</t>
  </si>
  <si>
    <t xml:space="preserve">  Om Suppliers  </t>
  </si>
  <si>
    <t>REQ-2025-0058</t>
  </si>
  <si>
    <t>06/10/2025</t>
  </si>
  <si>
    <t>REQ-2025-0059</t>
  </si>
  <si>
    <t>CENTRAL</t>
  </si>
  <si>
    <t>12-Oct-2025</t>
  </si>
  <si>
    <t>REQ-2025-0060</t>
  </si>
  <si>
    <t>Stretcher</t>
  </si>
  <si>
    <t>25/02/2025</t>
  </si>
  <si>
    <t>SHAKTI TRADERS</t>
  </si>
  <si>
    <t>REQ-2025-0061</t>
  </si>
  <si>
    <t>17/11/2025</t>
  </si>
  <si>
    <t>04-Dec-2025</t>
  </si>
  <si>
    <t>Bharat Logistics Pvt Ltd</t>
  </si>
  <si>
    <t>REQ-2025-0062</t>
  </si>
  <si>
    <t>10/03/2025</t>
  </si>
  <si>
    <t>14-Mar-2025</t>
  </si>
  <si>
    <t>REQ-2025-0063</t>
  </si>
  <si>
    <t>29/01/2025</t>
  </si>
  <si>
    <t>Unit  H  -  Air  Defence</t>
  </si>
  <si>
    <t>18-Feb-2025</t>
  </si>
  <si>
    <t>REQ-2025-0064</t>
  </si>
  <si>
    <t>13-Jul-2025</t>
  </si>
  <si>
    <t>construction material</t>
  </si>
  <si>
    <t>Timber Plank Set</t>
  </si>
  <si>
    <t>23,868.59</t>
  </si>
  <si>
    <t>REQ-2025-0065</t>
  </si>
  <si>
    <t>01-Nov-2025</t>
  </si>
  <si>
    <t>REQ-2025-0066</t>
  </si>
  <si>
    <t>13,600.00</t>
  </si>
  <si>
    <t>dispatched</t>
  </si>
  <si>
    <t>REQ-2025-0067</t>
  </si>
  <si>
    <t>07-Apr-2025</t>
  </si>
  <si>
    <t>₹838</t>
  </si>
  <si>
    <t>11-Apr-2025</t>
  </si>
  <si>
    <t>09/05/2025</t>
  </si>
  <si>
    <t>07-May-2025</t>
  </si>
  <si>
    <t>REQ-2025-0068</t>
  </si>
  <si>
    <t>REQ-2025-0069</t>
  </si>
  <si>
    <t xml:space="preserve">  Construction Material  </t>
  </si>
  <si>
    <t>Steel Rod Bundle</t>
  </si>
  <si>
    <t>₹30,054</t>
  </si>
  <si>
    <t>29/11/2025</t>
  </si>
  <si>
    <t>REQ-2025-0070</t>
  </si>
  <si>
    <t xml:space="preserve">  Unit F - Ordnance Depot  </t>
  </si>
  <si>
    <t>19/07/2025</t>
  </si>
  <si>
    <t>26/07/2025</t>
  </si>
  <si>
    <t>REQ-2025-0071</t>
  </si>
  <si>
    <t>Canned Vegetables</t>
  </si>
  <si>
    <t>36,967.47</t>
  </si>
  <si>
    <t>REQ-2025-0072</t>
  </si>
  <si>
    <t>16-Jan-2025</t>
  </si>
  <si>
    <t>Construction Material</t>
  </si>
  <si>
    <t>₹30,634</t>
  </si>
  <si>
    <t>REQ-2025-0073</t>
  </si>
  <si>
    <t>11/10/2025</t>
  </si>
  <si>
    <t>UNIT G - TRANSPORT CORPS</t>
  </si>
  <si>
    <t xml:space="preserve">  Vehicle Spares  </t>
  </si>
  <si>
    <t xml:space="preserve">  Vikram Enterprises  </t>
  </si>
  <si>
    <t>REQ-2025-0074</t>
  </si>
  <si>
    <t>04/01/2025</t>
  </si>
  <si>
    <t>23-Jan-2025</t>
  </si>
  <si>
    <t>REQ-2025-0075</t>
  </si>
  <si>
    <t>Unit  A  -  Infantry</t>
  </si>
  <si>
    <t>29,691.03</t>
  </si>
  <si>
    <t>Unit  Commander</t>
  </si>
  <si>
    <t>06-Jun-2025</t>
  </si>
  <si>
    <t>REQ-2025-0076</t>
  </si>
  <si>
    <t>09/08/2025</t>
  </si>
  <si>
    <t>unit a - infantry</t>
  </si>
  <si>
    <t>₹23,418</t>
  </si>
  <si>
    <t>REQ-2025-0077</t>
  </si>
  <si>
    <t>05/09/2025</t>
  </si>
  <si>
    <t>₹36,487</t>
  </si>
  <si>
    <t>REQ-2025-0078</t>
  </si>
  <si>
    <t>23/05/2025</t>
  </si>
  <si>
    <t>Medical  Supplies</t>
  </si>
  <si>
    <t>REQ-2025-0079</t>
  </si>
  <si>
    <t>27,930.54</t>
  </si>
  <si>
    <t>Dispached</t>
  </si>
  <si>
    <t>18/09/2025</t>
  </si>
  <si>
    <t xml:space="preserve">  Central Ordnance Suppliers  </t>
  </si>
  <si>
    <t>REQ-2025-0080</t>
  </si>
  <si>
    <t>₹4,743</t>
  </si>
  <si>
    <t>REQ-2025-0081</t>
  </si>
  <si>
    <t>15-Jun-2025</t>
  </si>
  <si>
    <t>26/06/2025</t>
  </si>
  <si>
    <t>15/07/2025</t>
  </si>
  <si>
    <t>REQ-2025-0082</t>
  </si>
  <si>
    <t>07-Sep-2025</t>
  </si>
  <si>
    <t xml:space="preserve">  Fuel &amp; Lubricants  </t>
  </si>
  <si>
    <t>₹38,277</t>
  </si>
  <si>
    <t>16-Sep-2025</t>
  </si>
  <si>
    <t>REQ-2025-0083</t>
  </si>
  <si>
    <t>CONSTRUCTION MATERIAL</t>
  </si>
  <si>
    <t>₹11,380</t>
  </si>
  <si>
    <t>04-Feb-2026</t>
  </si>
  <si>
    <t>REQ-2025-0084</t>
  </si>
  <si>
    <t>Unit  D  -  Signals</t>
  </si>
  <si>
    <t>REQ-2025-0085</t>
  </si>
  <si>
    <t xml:space="preserve">  Uniforms &amp; Clothing  </t>
  </si>
  <si>
    <t>₹39,431</t>
  </si>
  <si>
    <t>16-Jun-2025</t>
  </si>
  <si>
    <t>REQ-2025-0086</t>
  </si>
  <si>
    <t>28/10/2025</t>
  </si>
  <si>
    <t>REQ-2025-0087</t>
  </si>
  <si>
    <t>30/01/2025</t>
  </si>
  <si>
    <t>10-Feb-2025</t>
  </si>
  <si>
    <t>REQ-2025-0088</t>
  </si>
  <si>
    <t>02/03/2025</t>
  </si>
  <si>
    <t>REQ-2025-0089</t>
  </si>
  <si>
    <t>27-Apr-2025</t>
  </si>
  <si>
    <t>REQ-2025-0090</t>
  </si>
  <si>
    <t>23/02/2025</t>
  </si>
  <si>
    <t>24-Feb-2025</t>
  </si>
  <si>
    <t>08-Mar-2025</t>
  </si>
  <si>
    <t>REQ-2025-0091</t>
  </si>
  <si>
    <t>REQ-2025-0092</t>
  </si>
  <si>
    <t>Tents  &amp;  Shelter</t>
  </si>
  <si>
    <t>₹37,392</t>
  </si>
  <si>
    <t>REQ-2025-0093</t>
  </si>
  <si>
    <t>28-Mar-2025</t>
  </si>
  <si>
    <t>office &amp; it equipment</t>
  </si>
  <si>
    <t>31/03/2025</t>
  </si>
  <si>
    <t>13-Apr-2025</t>
  </si>
  <si>
    <t>16-Apr-2025</t>
  </si>
  <si>
    <t>REQ-2025-0094</t>
  </si>
  <si>
    <t>17/10/2025</t>
  </si>
  <si>
    <t>Office Chair</t>
  </si>
  <si>
    <t>₹36,509</t>
  </si>
  <si>
    <t>22-Oct-2025</t>
  </si>
  <si>
    <t>REQ-2025-0095</t>
  </si>
  <si>
    <t>30-Oct-2025</t>
  </si>
  <si>
    <t>REQ-2025-0096</t>
  </si>
  <si>
    <t>27-Sep-2025</t>
  </si>
  <si>
    <t>Uniforms &amp; Clothing</t>
  </si>
  <si>
    <t>Combat Uniform Set</t>
  </si>
  <si>
    <t>10/10/2025</t>
  </si>
  <si>
    <t>28-Oct-2025</t>
  </si>
  <si>
    <t>REQ-2025-0097</t>
  </si>
  <si>
    <t>26/04/2025</t>
  </si>
  <si>
    <t>REQ-2025-0098</t>
  </si>
  <si>
    <t>REQ-2025-0099</t>
  </si>
  <si>
    <t>Comunication Equipment</t>
  </si>
  <si>
    <t>₹19,328</t>
  </si>
  <si>
    <t>REQ-2025-0100</t>
  </si>
  <si>
    <t>15/05/2025</t>
  </si>
  <si>
    <t>15,569.04</t>
  </si>
  <si>
    <t>24-May-2025</t>
  </si>
  <si>
    <t>REQ-2025-0101</t>
  </si>
  <si>
    <t>19-Apr-2025</t>
  </si>
  <si>
    <t>₹37,042</t>
  </si>
  <si>
    <t>19/05/2025</t>
  </si>
  <si>
    <t>REQ-2025-0102</t>
  </si>
  <si>
    <t>09/10/2025</t>
  </si>
  <si>
    <t>REQ-2025-0103</t>
  </si>
  <si>
    <t>₹34,213</t>
  </si>
  <si>
    <t>08/08/2025</t>
  </si>
  <si>
    <t>REQ-2025-0104</t>
  </si>
  <si>
    <t>Bandage Roll (Pack)</t>
  </si>
  <si>
    <t>10-Sep-2025</t>
  </si>
  <si>
    <t>REQ-2025-0105</t>
  </si>
  <si>
    <t>05/08/2025</t>
  </si>
  <si>
    <t>₹28,119</t>
  </si>
  <si>
    <t>15/08/2025</t>
  </si>
  <si>
    <t>REQ-2025-0106</t>
  </si>
  <si>
    <t>02/12/2025</t>
  </si>
  <si>
    <t>31,906.89</t>
  </si>
  <si>
    <t>23-Dec-2025</t>
  </si>
  <si>
    <t>REQ-2025-0107</t>
  </si>
  <si>
    <t>17-May-2025</t>
  </si>
  <si>
    <t>-</t>
  </si>
  <si>
    <t>REQ-2025-0108</t>
  </si>
  <si>
    <t>20-Aug-2025</t>
  </si>
  <si>
    <t>₹19,602</t>
  </si>
  <si>
    <t>Rapid  Vendors  Ltd</t>
  </si>
  <si>
    <t>REQ-2025-0109</t>
  </si>
  <si>
    <t>Raitons</t>
  </si>
  <si>
    <t>₹22,135</t>
  </si>
  <si>
    <t>02/06/2025</t>
  </si>
  <si>
    <t>REQ-2025-0110</t>
  </si>
  <si>
    <t>Pendng</t>
  </si>
  <si>
    <t>REQ-2025-0111</t>
  </si>
  <si>
    <t>24-Mar-2025</t>
  </si>
  <si>
    <t>REQ-2025-0112</t>
  </si>
  <si>
    <t>01-Mar-2025</t>
  </si>
  <si>
    <t>29,176.86</t>
  </si>
  <si>
    <t>REQ-2025-0113</t>
  </si>
  <si>
    <t>Radiator Assembly</t>
  </si>
  <si>
    <t>02/11/2025</t>
  </si>
  <si>
    <t>22/11/2025</t>
  </si>
  <si>
    <t>REQ-2025-0114</t>
  </si>
  <si>
    <t>23/10/2025</t>
  </si>
  <si>
    <t>11/11/2025</t>
  </si>
  <si>
    <t>REQ-2025-0115</t>
  </si>
  <si>
    <t>06/11/2025</t>
  </si>
  <si>
    <t>2,584.24</t>
  </si>
  <si>
    <t>10/11/2025</t>
  </si>
  <si>
    <t>29-Nov-2025</t>
  </si>
  <si>
    <t>04/12/2025</t>
  </si>
  <si>
    <t>REQ-2025-0116</t>
  </si>
  <si>
    <t>23/08/2025</t>
  </si>
  <si>
    <t>25/08/2025</t>
  </si>
  <si>
    <t>REQ-2025-0117</t>
  </si>
  <si>
    <t>23/07/2025</t>
  </si>
  <si>
    <t>₹33,717</t>
  </si>
  <si>
    <t>REQ-2025-0118</t>
  </si>
  <si>
    <t>33,795.80</t>
  </si>
  <si>
    <t>07/09/2025</t>
  </si>
  <si>
    <t>REQ-2025-0119</t>
  </si>
  <si>
    <t>28-Jan-2025</t>
  </si>
  <si>
    <t>REQ-2025-0120</t>
  </si>
  <si>
    <t>24/03/2025</t>
  </si>
  <si>
    <t>₹41,799</t>
  </si>
  <si>
    <t>REQ-2025-0121</t>
  </si>
  <si>
    <t>₹5,235</t>
  </si>
  <si>
    <t>Approvd</t>
  </si>
  <si>
    <t>13/09/2025</t>
  </si>
  <si>
    <t>REQ-2025-0122</t>
  </si>
  <si>
    <t xml:space="preserve">  Unit B - Artillery  </t>
  </si>
  <si>
    <t>28/12/2025</t>
  </si>
  <si>
    <t>REQ-2025-0123</t>
  </si>
  <si>
    <t>14/08/2025</t>
  </si>
  <si>
    <t>REQ-2025-0124</t>
  </si>
  <si>
    <t>02/04/2025</t>
  </si>
  <si>
    <t>21/04/2025</t>
  </si>
  <si>
    <t>Sena  Supply  Co</t>
  </si>
  <si>
    <t>REQ-2025-0125</t>
  </si>
  <si>
    <t>07/05/2025</t>
  </si>
  <si>
    <t>31-May-2025</t>
  </si>
  <si>
    <t>19/06/2025</t>
  </si>
  <si>
    <t>REQ-2025-0126</t>
  </si>
  <si>
    <t>₹13,201</t>
  </si>
  <si>
    <t>28/09/2025</t>
  </si>
  <si>
    <t>REQ-2025-0127</t>
  </si>
  <si>
    <t>11-Dec-2025</t>
  </si>
  <si>
    <t>07/01/2026</t>
  </si>
  <si>
    <t>REQ-2025-0128</t>
  </si>
  <si>
    <t>REQ-2025-0129</t>
  </si>
  <si>
    <t xml:space="preserve">rations </t>
  </si>
  <si>
    <t>26,281.68</t>
  </si>
  <si>
    <t>REQ-2025-0130</t>
  </si>
  <si>
    <t>Woolen Gloves</t>
  </si>
  <si>
    <t>₹42,238</t>
  </si>
  <si>
    <t xml:space="preserve">  Rapid Vendors Ltd  </t>
  </si>
  <si>
    <t>REQ-2025-0131</t>
  </si>
  <si>
    <t>05-Jul-2025</t>
  </si>
  <si>
    <t>REQ-2025-0132</t>
  </si>
  <si>
    <t>37,073.01</t>
  </si>
  <si>
    <t>REQ-2025-0133</t>
  </si>
  <si>
    <t>31/12/2025</t>
  </si>
  <si>
    <t>REQ-2025-0134</t>
  </si>
  <si>
    <t>15-Sep-2025</t>
  </si>
  <si>
    <t>15-Oct-2025</t>
  </si>
  <si>
    <t>REQ-2025-0135</t>
  </si>
  <si>
    <t>11/12/2025</t>
  </si>
  <si>
    <t>₹40,260</t>
  </si>
  <si>
    <t>16/12/2025</t>
  </si>
  <si>
    <t>26-Dec-2025</t>
  </si>
  <si>
    <t>13/01/2026</t>
  </si>
  <si>
    <t>REQ-2025-0136</t>
  </si>
  <si>
    <t>05/06/2025</t>
  </si>
  <si>
    <t>REQ-2025-0137</t>
  </si>
  <si>
    <t>OFFICE &amp; IT EQUIPMENT</t>
  </si>
  <si>
    <t>REQ-2025-0138</t>
  </si>
  <si>
    <t>21,522.79</t>
  </si>
  <si>
    <t>23/11/2025</t>
  </si>
  <si>
    <t>REQ-2025-0139</t>
  </si>
  <si>
    <t>10-Dec-2025</t>
  </si>
  <si>
    <t>REQ-2025-0140</t>
  </si>
  <si>
    <t>21-Sep-2025</t>
  </si>
  <si>
    <t>REQ-2025-0141</t>
  </si>
  <si>
    <t>REQ-2025-0142</t>
  </si>
  <si>
    <t>₹36,370</t>
  </si>
  <si>
    <t>18/07/2025</t>
  </si>
  <si>
    <t>REQ-2025-0143</t>
  </si>
  <si>
    <t>16-Feb-2025</t>
  </si>
  <si>
    <t>₹16,807</t>
  </si>
  <si>
    <t>17-Feb-2025</t>
  </si>
  <si>
    <t>REQ-2025-0144</t>
  </si>
  <si>
    <t>₹23,514</t>
  </si>
  <si>
    <t>24-Jul-2025</t>
  </si>
  <si>
    <t>13/08/2025</t>
  </si>
  <si>
    <t>28/08/2025</t>
  </si>
  <si>
    <t>REQ-2025-0145</t>
  </si>
  <si>
    <t>31-Jan-2025</t>
  </si>
  <si>
    <t>Diesel (Drum 200L)</t>
  </si>
  <si>
    <t>REJECTED</t>
  </si>
  <si>
    <t>REQ-2025-0146</t>
  </si>
  <si>
    <t>REQ-2025-0147</t>
  </si>
  <si>
    <t>23-Feb-2025</t>
  </si>
  <si>
    <t>REQ-2025-0148</t>
  </si>
  <si>
    <t>Field Radio Set</t>
  </si>
  <si>
    <t>₹29,611</t>
  </si>
  <si>
    <t>01-May-2025</t>
  </si>
  <si>
    <t>26-May-2025</t>
  </si>
  <si>
    <t>26/05/2025</t>
  </si>
  <si>
    <t>REQ-2025-0149</t>
  </si>
  <si>
    <t>08-Nov-2025</t>
  </si>
  <si>
    <t>₹20,440</t>
  </si>
  <si>
    <t>20-Nov-2025</t>
  </si>
  <si>
    <t>REQ-2025-0150</t>
  </si>
  <si>
    <t>₹3,612</t>
  </si>
  <si>
    <t>REQ-2025-0151</t>
  </si>
  <si>
    <t>Wheat Flour (50kg bag)</t>
  </si>
  <si>
    <t>7,020.91</t>
  </si>
  <si>
    <t>REQ-2025-0152</t>
  </si>
  <si>
    <t>15-Jul-2025</t>
  </si>
  <si>
    <t>19-Jul-2025</t>
  </si>
  <si>
    <t>NATIONAL DEFENCE STORES</t>
  </si>
  <si>
    <t>REQ-2025-0153</t>
  </si>
  <si>
    <t>22-Jun-2025</t>
  </si>
  <si>
    <t>REQ-2025-0154</t>
  </si>
  <si>
    <t>30/12/2025</t>
  </si>
  <si>
    <t>₹4,098</t>
  </si>
  <si>
    <t>REQ-2025-0155</t>
  </si>
  <si>
    <t>30-Apr-2025</t>
  </si>
  <si>
    <t>18-May-2025</t>
  </si>
  <si>
    <t>Vikram  Enterprises</t>
  </si>
  <si>
    <t>REQ-2025-0156</t>
  </si>
  <si>
    <t>₹13,755</t>
  </si>
  <si>
    <t>07/03/2025</t>
  </si>
  <si>
    <t>REQ-2025-0157</t>
  </si>
  <si>
    <t>₹33,445</t>
  </si>
  <si>
    <t>REQ-2025-0158</t>
  </si>
  <si>
    <t>22-Jan-2025</t>
  </si>
  <si>
    <t>26/01/2025</t>
  </si>
  <si>
    <t>09-Feb-2025</t>
  </si>
  <si>
    <t>18/02/2025</t>
  </si>
  <si>
    <t>REQ-2025-0159</t>
  </si>
  <si>
    <t>₹23,643</t>
  </si>
  <si>
    <t>23/03/2025</t>
  </si>
  <si>
    <t>REQ-2025-0160</t>
  </si>
  <si>
    <t>UNIT D - SIGNALS</t>
  </si>
  <si>
    <t>₹21,486</t>
  </si>
  <si>
    <t>30-Aug-2025</t>
  </si>
  <si>
    <t>REQ-2025-0161</t>
  </si>
  <si>
    <t>05-Dec-2025</t>
  </si>
  <si>
    <t>13,573.36</t>
  </si>
  <si>
    <t>25/12/2025</t>
  </si>
  <si>
    <t>REQ-2025-0162</t>
  </si>
  <si>
    <t>27/09/2025</t>
  </si>
  <si>
    <t>30/09/2025</t>
  </si>
  <si>
    <t>REQ-2025-0163</t>
  </si>
  <si>
    <t>37,467.12</t>
  </si>
  <si>
    <t>REQ-2025-0164</t>
  </si>
  <si>
    <t>16/01/2025</t>
  </si>
  <si>
    <t>₹35,238</t>
  </si>
  <si>
    <t>REQ-2025-0165</t>
  </si>
  <si>
    <t>REQ-2025-0166</t>
  </si>
  <si>
    <t>28/02/2025</t>
  </si>
  <si>
    <t>REQ-2025-0167</t>
  </si>
  <si>
    <t>12/04/2025</t>
  </si>
  <si>
    <t>₹21,152</t>
  </si>
  <si>
    <t>04/05/2025</t>
  </si>
  <si>
    <t>20-May-2025</t>
  </si>
  <si>
    <t>REQ-2025-0168</t>
  </si>
  <si>
    <t>₹11,080</t>
  </si>
  <si>
    <t>REQ-2025-0169</t>
  </si>
  <si>
    <t>03-Nov-2025</t>
  </si>
  <si>
    <t>2,907.48</t>
  </si>
  <si>
    <t>REQ-2025-0170</t>
  </si>
  <si>
    <t>₹16,710</t>
  </si>
  <si>
    <t>REQ-2025-0171</t>
  </si>
  <si>
    <t>05/04/2025</t>
  </si>
  <si>
    <t>REQ-2025-0172</t>
  </si>
  <si>
    <t>26,175.05</t>
  </si>
  <si>
    <t>REQ-2025-0173</t>
  </si>
  <si>
    <t>06/01/2025</t>
  </si>
  <si>
    <t>REQ-2025-0174</t>
  </si>
  <si>
    <t>19/03/2025</t>
  </si>
  <si>
    <t>REQ-2025-0175</t>
  </si>
  <si>
    <t>15-May-2025</t>
  </si>
  <si>
    <t>20,279.60</t>
  </si>
  <si>
    <t>REQ-2025-0176</t>
  </si>
  <si>
    <t>01/07/2025</t>
  </si>
  <si>
    <t>25-Jul-2025</t>
  </si>
  <si>
    <t>REQ-2025-0177</t>
  </si>
  <si>
    <t>₹30,091</t>
  </si>
  <si>
    <t>03/09/2025</t>
  </si>
  <si>
    <t>16/09/2025</t>
  </si>
  <si>
    <t>REQ-2025-0178</t>
  </si>
  <si>
    <t>20-Oct-2025</t>
  </si>
  <si>
    <t>27/10/2025</t>
  </si>
  <si>
    <t>09-Nov-2025</t>
  </si>
  <si>
    <t>REQ-2025-0179</t>
  </si>
  <si>
    <t>24/08/2025</t>
  </si>
  <si>
    <t>31-Aug-2025</t>
  </si>
  <si>
    <t>08-Sep-2025</t>
  </si>
  <si>
    <t>REQ-2025-0180</t>
  </si>
  <si>
    <t>Medcial Supplies</t>
  </si>
  <si>
    <t>REQ-2025-0181</t>
  </si>
  <si>
    <t>17/06/2025</t>
  </si>
  <si>
    <t>14/07/2025</t>
  </si>
  <si>
    <t>REQ-2025-0182</t>
  </si>
  <si>
    <t>24/11/2025</t>
  </si>
  <si>
    <t>8,223.02</t>
  </si>
  <si>
    <t>REQ-2025-0183</t>
  </si>
  <si>
    <t>REQ-2025-0184</t>
  </si>
  <si>
    <t>06/09/2025</t>
  </si>
  <si>
    <t>REQ-2025-0185</t>
  </si>
  <si>
    <t>14/02/2025</t>
  </si>
  <si>
    <t>₹800</t>
  </si>
  <si>
    <t>REQ-2025-0186</t>
  </si>
  <si>
    <t>₹44,953</t>
  </si>
  <si>
    <t>REQ-2025-0187</t>
  </si>
  <si>
    <t>11-Oct-2025</t>
  </si>
  <si>
    <t>REQ-2025-0188</t>
  </si>
  <si>
    <t>15/12/2025</t>
  </si>
  <si>
    <t xml:space="preserve">  Unit D - Signals  </t>
  </si>
  <si>
    <t>REQ-2025-0189</t>
  </si>
  <si>
    <t>23/12/2025</t>
  </si>
  <si>
    <t>REQ-2025-0190</t>
  </si>
  <si>
    <t>29/03/2025</t>
  </si>
  <si>
    <t>₹15,987</t>
  </si>
  <si>
    <t>16/04/2025</t>
  </si>
  <si>
    <t>30/04/2025</t>
  </si>
  <si>
    <t>REQ-2025-0191</t>
  </si>
  <si>
    <t>REQ-2025-0192</t>
  </si>
  <si>
    <t>14/12/2025</t>
  </si>
  <si>
    <t>18/01/2026</t>
  </si>
  <si>
    <t>REQ-2025-0193</t>
  </si>
  <si>
    <t>02-Jun-2025</t>
  </si>
  <si>
    <t>REQ-2025-0194</t>
  </si>
  <si>
    <t>04/01/2026</t>
  </si>
  <si>
    <t>REQ-2025-0195</t>
  </si>
  <si>
    <t>19-Sep-2025</t>
  </si>
  <si>
    <t>REQ-2025-0196</t>
  </si>
  <si>
    <t>18,627.95</t>
  </si>
  <si>
    <t>REQ-2025-0197</t>
  </si>
  <si>
    <t>05-Nov-2025</t>
  </si>
  <si>
    <t>REQ-2025-0198</t>
  </si>
  <si>
    <t>13/04/2025</t>
  </si>
  <si>
    <t>29-Apr-2025</t>
  </si>
  <si>
    <t>REQ-2025-0199</t>
  </si>
  <si>
    <t>01-Jul-2025</t>
  </si>
  <si>
    <t>Brake Pad Set</t>
  </si>
  <si>
    <t>₹5,694</t>
  </si>
  <si>
    <t>03-Jul-2025</t>
  </si>
  <si>
    <t>REQ-2025-0200</t>
  </si>
  <si>
    <t>REQ-2025-0201</t>
  </si>
  <si>
    <t>₹6,187</t>
  </si>
  <si>
    <t>19/10/2025</t>
  </si>
  <si>
    <t>REQ-2025-0202</t>
  </si>
  <si>
    <t>REQ-2025-0203</t>
  </si>
  <si>
    <t>REQ-2025-0204</t>
  </si>
  <si>
    <t>17/03/2025</t>
  </si>
  <si>
    <t>18/03/2025</t>
  </si>
  <si>
    <t>REQ-2025-0205</t>
  </si>
  <si>
    <t>03-Jun-2025</t>
  </si>
  <si>
    <t>REQ-2025-0206</t>
  </si>
  <si>
    <t>₹9,280</t>
  </si>
  <si>
    <t>REQ-2025-0207</t>
  </si>
  <si>
    <t>11-Jan-2025</t>
  </si>
  <si>
    <t>₹3,002</t>
  </si>
  <si>
    <t>REQ-2025-0208</t>
  </si>
  <si>
    <t>18/06/2025</t>
  </si>
  <si>
    <t>26-Jun-2025</t>
  </si>
  <si>
    <t>17-Jul-2025</t>
  </si>
  <si>
    <t>REQ-2025-0209</t>
  </si>
  <si>
    <t>24-Nov-2025</t>
  </si>
  <si>
    <t>₹40,954</t>
  </si>
  <si>
    <t>01/12/2025</t>
  </si>
  <si>
    <t>18-Dec-2025</t>
  </si>
  <si>
    <t>REQ-2025-0210</t>
  </si>
  <si>
    <t>03-Feb-2025</t>
  </si>
  <si>
    <t>₹28,925</t>
  </si>
  <si>
    <t>REQ-2025-0211</t>
  </si>
  <si>
    <t>₹17,073</t>
  </si>
  <si>
    <t>09-Jan-2026</t>
  </si>
  <si>
    <t>REQ-2025-0212</t>
  </si>
  <si>
    <t>REQ-2025-0213</t>
  </si>
  <si>
    <t>27/01/2025</t>
  </si>
  <si>
    <t>28/01/2025</t>
  </si>
  <si>
    <t>REQ-2025-0214</t>
  </si>
  <si>
    <t>44,756.24</t>
  </si>
  <si>
    <t>12/08/2025</t>
  </si>
  <si>
    <t>REQ-2025-0215</t>
  </si>
  <si>
    <t>REQ-2025-0216</t>
  </si>
  <si>
    <t>₹25,677</t>
  </si>
  <si>
    <t>22/02/2025</t>
  </si>
  <si>
    <t>REQ-2025-0217</t>
  </si>
  <si>
    <t>09/03/2025</t>
  </si>
  <si>
    <t>17,555.82</t>
  </si>
  <si>
    <t>REQ-2025-0218</t>
  </si>
  <si>
    <t>02/09/2025</t>
  </si>
  <si>
    <t>REQ-2025-0219</t>
  </si>
  <si>
    <t>REQ-2025-0220</t>
  </si>
  <si>
    <t>REQ-2025-0221</t>
  </si>
  <si>
    <t>19-Jan-2025</t>
  </si>
  <si>
    <t>₹14,316</t>
  </si>
  <si>
    <t>21-Jan-2025</t>
  </si>
  <si>
    <t>REQ-2025-0222</t>
  </si>
  <si>
    <t>₹31,128</t>
  </si>
  <si>
    <t>13-Dec-2025</t>
  </si>
  <si>
    <t>08/01/2026</t>
  </si>
  <si>
    <t>18-Jan-2026</t>
  </si>
  <si>
    <t>REQ-2025-0223</t>
  </si>
  <si>
    <t>13/05/2025</t>
  </si>
  <si>
    <t>₹31,103</t>
  </si>
  <si>
    <t>REQ-2025-0224</t>
  </si>
  <si>
    <t>23/04/2025</t>
  </si>
  <si>
    <t>REQ-2025-0225</t>
  </si>
  <si>
    <t>22-Sep-2025</t>
  </si>
  <si>
    <t>₹17,788</t>
  </si>
  <si>
    <t>03/11/2025</t>
  </si>
  <si>
    <t>REQ-2025-0226</t>
  </si>
  <si>
    <t>07-Dec-2025</t>
  </si>
  <si>
    <t>REQ-2025-0227</t>
  </si>
  <si>
    <t>30,308.66</t>
  </si>
  <si>
    <t>REQ-2025-0228</t>
  </si>
  <si>
    <t>19/12/2025</t>
  </si>
  <si>
    <t>REQ-2025-0229</t>
  </si>
  <si>
    <t>21-Apr-2025</t>
  </si>
  <si>
    <t>21,730.76</t>
  </si>
  <si>
    <t>REQ-2025-0230</t>
  </si>
  <si>
    <t>26-Mar-2025</t>
  </si>
  <si>
    <t>₹26,022</t>
  </si>
  <si>
    <t>19/04/2025</t>
  </si>
  <si>
    <t>REQ-2025-0231</t>
  </si>
  <si>
    <t>₹4,170</t>
  </si>
  <si>
    <t>20/07/2025</t>
  </si>
  <si>
    <t>REQ-2025-0232</t>
  </si>
  <si>
    <t>REQ-2025-0233</t>
  </si>
  <si>
    <t>29/05/2025</t>
  </si>
  <si>
    <t>37,801.02</t>
  </si>
  <si>
    <t>05-Jun-2025</t>
  </si>
  <si>
    <t>06/07/2025</t>
  </si>
  <si>
    <t>REQ-2025-0234</t>
  </si>
  <si>
    <t>REQ-2025-0235</t>
  </si>
  <si>
    <t>Petrol (Drum 200L)</t>
  </si>
  <si>
    <t>REQ-2025-0236</t>
  </si>
  <si>
    <t>29/10/2025</t>
  </si>
  <si>
    <t>REQ-2025-0237</t>
  </si>
  <si>
    <t>REQ-2025-0238</t>
  </si>
  <si>
    <t>24-Jun-2025</t>
  </si>
  <si>
    <t>REQ-2025-0239</t>
  </si>
  <si>
    <t>14-Nov-2025</t>
  </si>
  <si>
    <t>₹701</t>
  </si>
  <si>
    <t>09/12/2025</t>
  </si>
  <si>
    <t>REQ-2025-0240</t>
  </si>
  <si>
    <t>08-Jul-2025</t>
  </si>
  <si>
    <t>₹19,079</t>
  </si>
  <si>
    <t>REQ-2025-0241</t>
  </si>
  <si>
    <t>₹594</t>
  </si>
  <si>
    <t>REQ-2025-0242</t>
  </si>
  <si>
    <t>₹35,986</t>
  </si>
  <si>
    <t>REQ-2025-0243</t>
  </si>
  <si>
    <t>REQ-2025-0244</t>
  </si>
  <si>
    <t>01/06/2025</t>
  </si>
  <si>
    <t>₹15,236</t>
  </si>
  <si>
    <t xml:space="preserve">  Rejected  </t>
  </si>
  <si>
    <t>REQ-2025-0245</t>
  </si>
  <si>
    <t>26/10/2025</t>
  </si>
  <si>
    <t>REQ-2025-0246</t>
  </si>
  <si>
    <t>13/02/2025</t>
  </si>
  <si>
    <t>₹38,405</t>
  </si>
  <si>
    <t>02-Mar-2025</t>
  </si>
  <si>
    <t>REQ-2025-0247</t>
  </si>
  <si>
    <t>15/04/2025</t>
  </si>
  <si>
    <t>20/04/2025</t>
  </si>
  <si>
    <t>REQ-2025-0248</t>
  </si>
  <si>
    <t>₹31,979</t>
  </si>
  <si>
    <t>REQ-2025-0249</t>
  </si>
  <si>
    <t>27-Nov-2025</t>
  </si>
  <si>
    <t>Vehicle  Spares</t>
  </si>
  <si>
    <t>37,080.82</t>
  </si>
  <si>
    <t>30-Nov-2025</t>
  </si>
  <si>
    <t>18/12/2025</t>
  </si>
  <si>
    <t>20/12/2025</t>
  </si>
  <si>
    <t>REQ-2025-0250</t>
  </si>
  <si>
    <t>REQ-2025-0251</t>
  </si>
  <si>
    <t>7,705.13</t>
  </si>
  <si>
    <t>REQ-2025-0252</t>
  </si>
  <si>
    <t>44,519.68</t>
  </si>
  <si>
    <t>REQ-2025-0253</t>
  </si>
  <si>
    <t>₹18,588</t>
  </si>
  <si>
    <t>REQ-2025-0254</t>
  </si>
  <si>
    <t>26/09/2025</t>
  </si>
  <si>
    <t>25-Oct-2025</t>
  </si>
  <si>
    <t>REQ-2025-0255</t>
  </si>
  <si>
    <t>25/06/2025</t>
  </si>
  <si>
    <t>REQ-2025-0256</t>
  </si>
  <si>
    <t xml:space="preserve">  Medical Supplies  </t>
  </si>
  <si>
    <t>REQ-2025-0257</t>
  </si>
  <si>
    <t>₹18,294</t>
  </si>
  <si>
    <t>05/05/2025</t>
  </si>
  <si>
    <t>REQ-2025-0258</t>
  </si>
  <si>
    <t>08-May-2025</t>
  </si>
  <si>
    <t>REQ-2025-0259</t>
  </si>
  <si>
    <t>₹13,968</t>
  </si>
  <si>
    <t>REQ-2025-0260</t>
  </si>
  <si>
    <t>₹15,496</t>
  </si>
  <si>
    <t>27/11/2025</t>
  </si>
  <si>
    <t>REQ-2025-0261</t>
  </si>
  <si>
    <t>REQ-2025-0262</t>
  </si>
  <si>
    <t>12-Nov-2025</t>
  </si>
  <si>
    <t>17/12/2025</t>
  </si>
  <si>
    <t>REQ-2025-0263</t>
  </si>
  <si>
    <t>11/08/2025</t>
  </si>
  <si>
    <t>₹10,034</t>
  </si>
  <si>
    <t>11/09/2025</t>
  </si>
  <si>
    <t>REQ-2025-0264</t>
  </si>
  <si>
    <t>14-Feb-2025</t>
  </si>
  <si>
    <t>REQ-2025-0265</t>
  </si>
  <si>
    <t>03/10/2025</t>
  </si>
  <si>
    <t>14-Oct-2025</t>
  </si>
  <si>
    <t>REQ-2025-0266</t>
  </si>
  <si>
    <t>REQ-2025-0267</t>
  </si>
  <si>
    <t>23-Jul-2025</t>
  </si>
  <si>
    <t>02-Aug-2025</t>
  </si>
  <si>
    <t>REQ-2025-0268</t>
  </si>
  <si>
    <t>₹30,145</t>
  </si>
  <si>
    <t>REQ-2025-0269</t>
  </si>
  <si>
    <t>11-Nov-2025</t>
  </si>
  <si>
    <t>REQ-2025-0270</t>
  </si>
  <si>
    <t>₹27,337</t>
  </si>
  <si>
    <t>REQ-2025-0271</t>
  </si>
  <si>
    <t>REQ-2025-0272</t>
  </si>
  <si>
    <t>₹41,665</t>
  </si>
  <si>
    <t>REQ-2025-0273</t>
  </si>
  <si>
    <t>05/01/2025</t>
  </si>
  <si>
    <t>₹32,685</t>
  </si>
  <si>
    <t>26-Feb-2025</t>
  </si>
  <si>
    <t>REQ-2025-0274</t>
  </si>
  <si>
    <t>22/10/2025</t>
  </si>
  <si>
    <t>REQ-2025-0275</t>
  </si>
  <si>
    <t>28-Apr-2025</t>
  </si>
  <si>
    <t>13-May-2025</t>
  </si>
  <si>
    <t>REQ-2025-0276</t>
  </si>
  <si>
    <t>₹548</t>
  </si>
  <si>
    <t>REQ-2025-0277</t>
  </si>
  <si>
    <t>5,113.35</t>
  </si>
  <si>
    <t>REQ-2025-0278</t>
  </si>
  <si>
    <t>2,483.99</t>
  </si>
  <si>
    <t>22/03/2025</t>
  </si>
  <si>
    <t>05-Apr-2025</t>
  </si>
  <si>
    <t>REQ-2025-0279</t>
  </si>
  <si>
    <t>₹19,270</t>
  </si>
  <si>
    <t>REQ-2025-0280</t>
  </si>
  <si>
    <t>REQ-2025-0281</t>
  </si>
  <si>
    <t>08-Feb-2025</t>
  </si>
  <si>
    <t>REQ-2025-0282</t>
  </si>
  <si>
    <t>REQ-2025-0283</t>
  </si>
  <si>
    <t>Unit  C  -  Engineers</t>
  </si>
  <si>
    <t>₹31,790</t>
  </si>
  <si>
    <t>REQ-2025-0284</t>
  </si>
  <si>
    <t>20,155.61</t>
  </si>
  <si>
    <t>REQ-2025-0285</t>
  </si>
  <si>
    <t>757.81</t>
  </si>
  <si>
    <t>03/03/2025</t>
  </si>
  <si>
    <t>Standardization Lookup Tables</t>
  </si>
  <si>
    <t>Used by Cleaned_Data (INDEX/MATCH) to correct typos and inconsistent spelling found in Raw_Data. MATCH() is case-insensitive and cells are wrapped in TRIM(), so spacing/case issues never need a row here — only genuine misspellings do.</t>
  </si>
  <si>
    <t>Item_Category Map</t>
  </si>
  <si>
    <t>Status Map</t>
  </si>
  <si>
    <t>Region Map</t>
  </si>
  <si>
    <t>Messy_Value</t>
  </si>
  <si>
    <t>Canonical_Value</t>
  </si>
  <si>
    <t>Vendor</t>
  </si>
  <si>
    <t>Total_Cost_INR</t>
  </si>
  <si>
    <t>Delay_Days</t>
  </si>
  <si>
    <t>Is_Duplicate</t>
  </si>
  <si>
    <t>Missing_Critical_Data</t>
  </si>
  <si>
    <t>Logic_Error_Flag</t>
  </si>
  <si>
    <t>Include_In_Analysis</t>
  </si>
  <si>
    <t>Request_Month</t>
  </si>
  <si>
    <t>Data Cleaning Log</t>
  </si>
  <si>
    <t>Every count below is a live formula against Cleaned_Data — it updates automatically if Raw_Data changes.</t>
  </si>
  <si>
    <t>#</t>
  </si>
  <si>
    <t>Issue Found in Raw Data</t>
  </si>
  <si>
    <t>Technique / Formula Used</t>
  </si>
  <si>
    <t>Example</t>
  </si>
  <si>
    <t>Rows Affected</t>
  </si>
  <si>
    <t>Inconsistent case / stray whitespace in text fields (Unit, Region, Category, Status, Priority, Vendor)</t>
  </si>
  <si>
    <t>TRIM() + PROPER() to standardize casing and collapse extra spaces</t>
  </si>
  <si>
    <t>"unit b - artillery" / "  Unit G  " -&gt; "Unit B - Artillery"</t>
  </si>
  <si>
    <t>Genuine misspellings in Category / Status / Region (not just case)</t>
  </si>
  <si>
    <t>INDEX/MATCH against a Messy-to-Canonical lookup table on Lookup_Tables</t>
  </si>
  <si>
    <t>"Raitons" -&gt; "Rations", "Pendng" -&gt; "Pending", "Nothern" -&gt; "Northern"</t>
  </si>
  <si>
    <t>Dates stored as 3 different shapes: true dates, DD/MM/YYYY text, DD-Mon-YYYY text</t>
  </si>
  <si>
    <t>ISNUMBER() branch for true dates; fixed-width DATE(RIGHT/MID/LEFT) for slash dates (DATEVALUE alone mis-reads DD/MM as MM/DD under a US locale); DATEVALUE for named-month text</t>
  </si>
  <si>
    <t>"25/04/2025" -&gt; 25-Apr-2025 (not misread as month 25)</t>
  </si>
  <si>
    <t>Cost stored as text with currency symbol and thousand separators</t>
  </si>
  <si>
    <t>SUBSTITUTE() to strip "₹" and "," then VALUE() to convert to a real number, wrapped in IFERROR</t>
  </si>
  <si>
    <t>"₹27,891" -&gt; 27891</t>
  </si>
  <si>
    <t>Missing values in required fields (Quantity, Status, Unit)</t>
  </si>
  <si>
    <t>Blank checks roll up into a Missing_Critical_Data flag column</t>
  </si>
  <si>
    <t>Blank Status -&gt; flagged "Not Specified", row excluded from analysis</t>
  </si>
  <si>
    <t>Invalid quantities: zero, negative, or text entry errors</t>
  </si>
  <si>
    <t>VALUE() parse wrapped with a &lt;=0 check, flags the cell "Invalid"</t>
  </si>
  <si>
    <t>-307 or 0 units requested -&gt; flagged "Invalid"</t>
  </si>
  <si>
    <t>Logic errors: Quantity Approved &gt; Quantity Requested, or a Rejected requisition with an approved quantity</t>
  </si>
  <si>
    <t>Cross-field AND/OR comparison into a Logic_Error_Flag column</t>
  </si>
  <si>
    <t>Requested 100, Approved 140 -&gt; flagged</t>
  </si>
  <si>
    <t>Duplicate requisitions (same Req_ID submitted more than once)</t>
  </si>
  <si>
    <t>Running COUNTIF($A$2:A_row, A_row) — first occurrence kept, later ones flagged</t>
  </si>
  <si>
    <t>REQ-2025-0032 appears twice -&gt; 2nd occurrence flagged "Duplicate"</t>
  </si>
  <si>
    <t>Vendor field placeholders instead of true blanks</t>
  </si>
  <si>
    <t>IF/OR() maps "N/A", "TBD", "-", and blank all to one consistent "Not Assigned" label</t>
  </si>
  <si>
    <t>"TBD" / "-" / "" -&gt; "Not Assigned"</t>
  </si>
  <si>
    <t>Overall Data Quality</t>
  </si>
  <si>
    <t>Total rows in Raw_Data:</t>
  </si>
  <si>
    <t>Rows passing all checks (Include_In_Analysis = Yes):</t>
  </si>
  <si>
    <t>Data quality rate:</t>
  </si>
  <si>
    <t>New Requisition Entry Form</t>
  </si>
  <si>
    <t>Add new requisitions here. Dropdowns and range checks below prevent the same data-quality issues found in Raw_Data from entering the system going forward.</t>
  </si>
  <si>
    <t>REQ-2026-0001</t>
  </si>
  <si>
    <t>&lt;- example row, showing expected format (edit or delete)</t>
  </si>
  <si>
    <t>Validation rules applied:</t>
  </si>
  <si>
    <t>• Request_Date: must be a valid date on/after 01/01/2020</t>
  </si>
  <si>
    <t>• Unit / Region / Item_Category / Priority / Status / Requested_By_Role: dropdown list, no free text allowed</t>
  </si>
  <si>
    <t>• Quantity_Requested: whole number, must be greater than 0</t>
  </si>
  <si>
    <t>• Unit_Cost_INR: decimal number, must be greater than 0, no currency symbol</t>
  </si>
  <si>
    <t>Requisitions by Unit &amp; Status</t>
  </si>
  <si>
    <t>Count of requisitions. Only rows where Cleaned_Data!Include_In_Analysis = "Yes" are counted.</t>
  </si>
  <si>
    <t>Total Requisitions</t>
  </si>
  <si>
    <t>Total Cost (INR)</t>
  </si>
  <si>
    <t>TOTAL</t>
  </si>
  <si>
    <t>Total Requisition Cost by Category &amp; Month (2025)</t>
  </si>
  <si>
    <t>Values in INR. Only rows where Include_In_Analysis = "Yes" are counted.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</si>
  <si>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</si>
  <si>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</si>
  <si>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</si>
  <si>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</si>
  <si>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</si>
  <si>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</si>
  <si>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</si>
  <si>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</si>
  <si>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</si>
  <si>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</si>
  <si>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</si>
  <si>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</si>
  <si>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</si>
  <si>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Delivery Performance by Region</t>
  </si>
  <si>
    <t>Delay_Days = Actual Delivery - Expected Delivery. Negative/zero = on time or early.</t>
  </si>
  <si>
    <t>Delivered Count</t>
  </si>
  <si>
    <t>Avg Delay Days</t>
  </si>
  <si>
    <t>On-Time Deliveries</t>
  </si>
  <si>
    <t>% On-Time Delivery</t>
  </si>
  <si>
    <t>Defense Logistics Requisition Analytics Dashboard</t>
  </si>
  <si>
    <t>Synthetic / fictional data — Excel portfolio project | FY2025 Requisition Cycle</t>
  </si>
  <si>
    <t>Total Valid Requisitions</t>
  </si>
  <si>
    <t>Total Approved Cost (INR)</t>
  </si>
  <si>
    <t>Pending Requisitions</t>
  </si>
  <si>
    <t>Avg Delivery Delay (Days)</t>
  </si>
  <si>
    <t>On-Time Delivery Rate</t>
  </si>
  <si>
    <t>Data Quality Rate</t>
  </si>
  <si>
    <t>Chart source data (auto-calculated from Cleaned_Data — do not edit; charts above reference these cells)</t>
  </si>
  <si>
    <t>Category</t>
  </si>
  <si>
    <t>Total Cost</t>
  </si>
  <si>
    <t>Count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</si>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</sst>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%"/>
    <numFmt numFmtId="166" formatCode="0.0"/>
    <numFmt numFmtId="167" formatCode="#,##0,,\M"/>
  </numFmts>
  <fonts count="22" x14ac:knownFonts="1">
    <font>
      <sz val="11"/>
      <color theme="1"/>
      <name val="Calibri"/>
      <family val="2"/>
      <charset val="1"/>
    </font>
    <font>
      <b/>
      <sz val="20"/>
      <color rgb="FF1F4E5F"/>
      <name val="Arial"/>
      <charset val="1"/>
    </font>
    <font>
      <i/>
      <sz val="11"/>
      <color rgb="FF444444"/>
      <name val="Arial"/>
      <charset val="1"/>
    </font>
    <font>
      <b/>
      <sz val="10"/>
      <color rgb="FF9C0006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color rgb="FF1F4E5F"/>
      <name val="Arial"/>
      <charset val="1"/>
    </font>
    <font>
      <b/>
      <sz val="10"/>
      <color rgb="FFFFFFFF"/>
      <name val="Arial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16"/>
      <color rgb="FF1F4E5F"/>
      <name val="Arial"/>
      <charset val="1"/>
    </font>
    <font>
      <b/>
      <sz val="12"/>
      <name val="Arial"/>
      <charset val="1"/>
    </font>
    <font>
      <i/>
      <sz val="10"/>
      <color rgb="FF808080"/>
      <name val="Arial"/>
      <charset val="1"/>
    </font>
    <font>
      <i/>
      <sz val="9"/>
      <color rgb="FF808080"/>
      <name val="Arial"/>
      <charset val="1"/>
    </font>
    <font>
      <sz val="9"/>
      <color rgb="FF444444"/>
      <name val="Arial"/>
      <charset val="1"/>
    </font>
    <font>
      <b/>
      <sz val="14"/>
      <color rgb="FF1F4E5F"/>
      <name val="Arial"/>
      <charset val="1"/>
    </font>
    <font>
      <b/>
      <sz val="20"/>
      <color rgb="FFFFFFFF"/>
      <name val="Arial"/>
      <charset val="1"/>
    </font>
    <font>
      <i/>
      <sz val="10"/>
      <color rgb="FFD9E2F3"/>
      <name val="Arial"/>
      <charset val="1"/>
    </font>
    <font>
      <b/>
      <sz val="18"/>
      <color rgb="FFFFFFFF"/>
      <name val="Arial"/>
      <charset val="1"/>
    </font>
    <font>
      <sz val="9"/>
      <color rgb="FFD9E2F3"/>
      <name val="Arial"/>
      <charset val="1"/>
    </font>
    <font>
      <i/>
      <sz val="9"/>
      <color rgb="FF99999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1F4E5F"/>
        <bgColor rgb="FF44444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xfId="0"/>
    <xf numFmtId="166" fontId="19" fillId="4" borderId="0" xfId="0" applyNumberFormat="1" applyFont="1" applyFill="1" applyAlignment="1">
      <alignment horizontal="center" vertical="center"/>
    </xf>
    <xf numFmtId="167" fontId="19" fillId="4" borderId="0" xfId="0" applyNumberFormat="1" applyFont="1" applyFill="1" applyAlignment="1">
      <alignment horizontal="center" vertical="center"/>
    </xf>
    <xf numFmtId="1" fontId="19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 indent="1"/>
    </xf>
    <xf numFmtId="0" fontId="15" fillId="0" borderId="0" xfId="0" applyFont="1"/>
    <xf numFmtId="0" fontId="9" fillId="0" borderId="0" xfId="0" applyFont="1"/>
    <xf numFmtId="0" fontId="7" fillId="3" borderId="0" xfId="0" applyFont="1" applyFill="1"/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0" xfId="0" applyFont="1" applyFill="1"/>
    <xf numFmtId="0" fontId="3" fillId="2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5" fillId="0" borderId="0" xfId="0" applyFont="1"/>
    <xf numFmtId="14" fontId="5" fillId="0" borderId="0" xfId="0" applyNumberFormat="1" applyFont="1"/>
    <xf numFmtId="0" fontId="8" fillId="0" borderId="0" xfId="0" applyFont="1"/>
    <xf numFmtId="0" fontId="10" fillId="0" borderId="1" xfId="0" applyFont="1" applyBorder="1"/>
    <xf numFmtId="0" fontId="5" fillId="0" borderId="1" xfId="0" applyFont="1" applyBorder="1"/>
    <xf numFmtId="164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0" fontId="11" fillId="0" borderId="0" xfId="0" applyFont="1"/>
    <xf numFmtId="0" fontId="5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/>
    </xf>
    <xf numFmtId="0" fontId="12" fillId="0" borderId="0" xfId="0" applyFont="1"/>
    <xf numFmtId="0" fontId="10" fillId="0" borderId="0" xfId="0" applyFont="1"/>
    <xf numFmtId="165" fontId="10" fillId="0" borderId="0" xfId="0" applyNumberFormat="1" applyFont="1"/>
    <xf numFmtId="0" fontId="13" fillId="0" borderId="0" xfId="0" applyFont="1"/>
    <xf numFmtId="14" fontId="13" fillId="0" borderId="0" xfId="0" applyNumberFormat="1" applyFont="1"/>
    <xf numFmtId="0" fontId="14" fillId="0" borderId="0" xfId="0" applyFont="1"/>
    <xf numFmtId="14" fontId="5" fillId="0" borderId="1" xfId="0" applyNumberFormat="1" applyFont="1" applyBorder="1"/>
    <xf numFmtId="0" fontId="16" fillId="0" borderId="0" xfId="0" applyFont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3" fontId="10" fillId="0" borderId="1" xfId="0" applyNumberFormat="1" applyFont="1" applyBorder="1" applyAlignment="1">
      <alignment horizontal="center"/>
    </xf>
    <xf numFmtId="3" fontId="10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21" fillId="0" borderId="0" xfId="0" applyFont="1"/>
    <xf numFmtId="3" fontId="0" fillId="0" borderId="0" xfId="0" applyNumberFormat="1"/>
    <xf numFmtId="3" fontId="10" fillId="0" borderId="0" xfId="0" applyNumberFormat="1" applyFont="1"/>
    <xf numFmtId="166" fontId="0" fillId="0" borderId="0" xfId="0" applyNumberFormat="1"/>
    <xf numFmtId="165" fontId="19" fillId="4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66666"/>
      <rgbColor rgb="FF800080"/>
      <rgbColor rgb="FF008080"/>
      <rgbColor rgb="FFB7B7B7"/>
      <rgbColor rgb="FF808080"/>
      <rgbColor rgb="FF878787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4BACC6"/>
      <rgbColor rgb="FF9BBB59"/>
      <rgbColor rgb="FFFFCC00"/>
      <rgbColor rgb="FFBF8F00"/>
      <rgbColor rgb="FFFF6600"/>
      <rgbColor rgb="FF8064A2"/>
      <rgbColor rgb="FF999999"/>
      <rgbColor rgb="FF1F4E5F"/>
      <rgbColor rgb="FF4F81BD"/>
      <rgbColor rgb="FF003300"/>
      <rgbColor rgb="FF375623"/>
      <rgbColor rgb="FFC0504D"/>
      <rgbColor rgb="FF7030A0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Cost by Item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Dashboard!$B$33:$B$41</c:f>
              <c:strCache>
                <c:ptCount val="9"/>
                <c:pt idx="0">
                  <c:v>Rations</c:v>
                </c:pt>
                <c:pt idx="1">
                  <c:v>Vehicle Spares</c:v>
                </c:pt>
                <c:pt idx="2">
                  <c:v>Uniforms &amp; Clothing</c:v>
                </c:pt>
                <c:pt idx="3">
                  <c:v>Medical Supplies</c:v>
                </c:pt>
                <c:pt idx="4">
                  <c:v>Communication Equipment</c:v>
                </c:pt>
                <c:pt idx="5">
                  <c:v>Fuel &amp; Lubricants</c:v>
                </c:pt>
                <c:pt idx="6">
                  <c:v>Construction Material</c:v>
                </c:pt>
                <c:pt idx="7">
                  <c:v>Region</c:v>
                </c:pt>
                <c:pt idx="8">
                  <c:v>Northern</c:v>
                </c:pt>
              </c:strCache>
            </c:strRef>
          </c:cat>
          <c:val>
            <c:numRef>
              <c:f>Dashboard!$C$33:$C$41</c:f>
              <c:numCache>
                <c:formatCode>#,##0</c:formatCode>
                <c:ptCount val="9"/>
                <c:pt idx="0">
                  <c:v>96140338.699999988</c:v>
                </c:pt>
                <c:pt idx="1">
                  <c:v>115217963.38</c:v>
                </c:pt>
                <c:pt idx="2">
                  <c:v>102646232.68000001</c:v>
                </c:pt>
                <c:pt idx="3">
                  <c:v>117724587.3</c:v>
                </c:pt>
                <c:pt idx="4">
                  <c:v>113556480.41</c:v>
                </c:pt>
                <c:pt idx="5">
                  <c:v>95802826.930000007</c:v>
                </c:pt>
                <c:pt idx="6">
                  <c:v>114892203.7</c:v>
                </c:pt>
                <c:pt idx="7">
                  <c:v>0</c:v>
                </c:pt>
                <c:pt idx="8" formatCode="0.0">
                  <c:v>7.5882352941176467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D-4A15-AC32-83D1DFCCD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99034"/>
        <c:axId val="25891686"/>
      </c:barChart>
      <c:catAx>
        <c:axId val="96299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91686"/>
        <c:crosses val="autoZero"/>
        <c:auto val="1"/>
        <c:lblAlgn val="ctr"/>
        <c:lblOffset val="100"/>
        <c:noMultiLvlLbl val="0"/>
      </c:catAx>
      <c:valAx>
        <c:axId val="25891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99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Requisitions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5E1-4BDC-A596-CC5CE0EFA60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5E1-4BDC-A596-CC5CE0EFA60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5E1-4BDC-A596-CC5CE0EFA60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5E1-4BDC-A596-CC5CE0EFA60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5E1-4BDC-A596-CC5CE0EFA6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5E1-4BDC-A596-CC5CE0EFA6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5E1-4BDC-A596-CC5CE0EFA6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5E1-4BDC-A596-CC5CE0EFA6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5E1-4BDC-A596-CC5CE0EFA6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5E1-4BDC-A596-CC5CE0EFA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Dashboard!$E$33:$E$37</c:f>
              <c:strCache>
                <c:ptCount val="5"/>
                <c:pt idx="0">
                  <c:v>Pending</c:v>
                </c:pt>
                <c:pt idx="1">
                  <c:v>Approved</c:v>
                </c:pt>
                <c:pt idx="2">
                  <c:v>Rejected</c:v>
                </c:pt>
                <c:pt idx="3">
                  <c:v>Dispatched</c:v>
                </c:pt>
                <c:pt idx="4">
                  <c:v>Delivered</c:v>
                </c:pt>
              </c:strCache>
            </c:strRef>
          </c:cat>
          <c:val>
            <c:numRef>
              <c:f>Dashboard!$F$33:$F$37</c:f>
              <c:numCache>
                <c:formatCode>General</c:formatCode>
                <c:ptCount val="5"/>
                <c:pt idx="0">
                  <c:v>36</c:v>
                </c:pt>
                <c:pt idx="1">
                  <c:v>50</c:v>
                </c:pt>
                <c:pt idx="2">
                  <c:v>18</c:v>
                </c:pt>
                <c:pt idx="3">
                  <c:v>48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1-4BDC-A596-CC5CE0EF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Requisition Cost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7962772736785"/>
          <c:y val="0.19224350812208202"/>
          <c:w val="0.85879094618501395"/>
          <c:h val="0.72587458682203443"/>
        </c:manualLayout>
      </c:layout>
      <c:lineChart>
        <c:grouping val="standard"/>
        <c:varyColors val="0"/>
        <c:ser>
          <c:idx val="0"/>
          <c:order val="0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Dashboard!$I$32:$T$32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Dashboard!$H$33:$S$33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67211019.760000005</c:v>
                </c:pt>
                <c:pt idx="2">
                  <c:v>44069455.079999998</c:v>
                </c:pt>
                <c:pt idx="3">
                  <c:v>38753084.579999998</c:v>
                </c:pt>
                <c:pt idx="4">
                  <c:v>57207550.060000002</c:v>
                </c:pt>
                <c:pt idx="5">
                  <c:v>99782977</c:v>
                </c:pt>
                <c:pt idx="6">
                  <c:v>70151750.799999997</c:v>
                </c:pt>
                <c:pt idx="7">
                  <c:v>64172655.590000004</c:v>
                </c:pt>
                <c:pt idx="8">
                  <c:v>94963407.450000003</c:v>
                </c:pt>
                <c:pt idx="9">
                  <c:v>77047294.75999999</c:v>
                </c:pt>
                <c:pt idx="10">
                  <c:v>41612759.799999997</c:v>
                </c:pt>
                <c:pt idx="11">
                  <c:v>43883865.410000004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C-480F-A9F2-CE53050CF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352833"/>
        <c:axId val="34665245"/>
      </c:lineChart>
      <c:catAx>
        <c:axId val="76352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65245"/>
        <c:crosses val="autoZero"/>
        <c:auto val="1"/>
        <c:lblAlgn val="ctr"/>
        <c:lblOffset val="100"/>
        <c:noMultiLvlLbl val="0"/>
      </c:catAx>
      <c:valAx>
        <c:axId val="34665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52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Delivery Delay by Region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Dashboard!$C$40</c:f>
              <c:strCache>
                <c:ptCount val="1"/>
                <c:pt idx="0">
                  <c:v>Avg Delay Days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Dashboard!$B$41:$B$45</c:f>
              <c:strCache>
                <c:ptCount val="5"/>
                <c:pt idx="0">
                  <c:v>Northern</c:v>
                </c:pt>
                <c:pt idx="1">
                  <c:v>Southern</c:v>
                </c:pt>
                <c:pt idx="2">
                  <c:v>Eastern</c:v>
                </c:pt>
                <c:pt idx="3">
                  <c:v>Western</c:v>
                </c:pt>
                <c:pt idx="4">
                  <c:v>Central</c:v>
                </c:pt>
              </c:strCache>
            </c:strRef>
          </c:cat>
          <c:val>
            <c:numRef>
              <c:f>Dashboard!$C$41:$C$45</c:f>
              <c:numCache>
                <c:formatCode>0.0</c:formatCode>
                <c:ptCount val="5"/>
                <c:pt idx="0">
                  <c:v>7.5882352941176467</c:v>
                </c:pt>
                <c:pt idx="1">
                  <c:v>7.4666666666666668</c:v>
                </c:pt>
                <c:pt idx="2">
                  <c:v>11.5</c:v>
                </c:pt>
                <c:pt idx="3">
                  <c:v>10</c:v>
                </c:pt>
                <c:pt idx="4">
                  <c:v>8.4444444444444446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E-41A8-8D9F-86B30DFF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4467"/>
        <c:axId val="31112411"/>
      </c:barChart>
      <c:catAx>
        <c:axId val="260944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12411"/>
        <c:crosses val="autoZero"/>
        <c:auto val="1"/>
        <c:lblAlgn val="ctr"/>
        <c:lblOffset val="100"/>
        <c:noMultiLvlLbl val="0"/>
      </c:catAx>
      <c:valAx>
        <c:axId val="311124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4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Requisitions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5E1-4BDC-A596-CC5CE0EFA60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5E1-4BDC-A596-CC5CE0EFA60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5E1-4BDC-A596-CC5CE0EFA60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5E1-4BDC-A596-CC5CE0EFA60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5E1-4BDC-A596-CC5CE0EFA6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E1-4BDC-A596-CC5CE0EFA6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E1-4BDC-A596-CC5CE0EFA6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E1-4BDC-A596-CC5CE0EFA6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E1-4BDC-A596-CC5CE0EFA6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E1-4BDC-A596-CC5CE0EFA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Dashboard!$E$33:$E$37</c:f>
              <c:strCache>
                <c:ptCount val="5"/>
                <c:pt idx="0">
                  <c:v>Pending</c:v>
                </c:pt>
                <c:pt idx="1">
                  <c:v>Approved</c:v>
                </c:pt>
                <c:pt idx="2">
                  <c:v>Rejected</c:v>
                </c:pt>
                <c:pt idx="3">
                  <c:v>Dispatched</c:v>
                </c:pt>
                <c:pt idx="4">
                  <c:v>Delivered</c:v>
                </c:pt>
              </c:strCache>
            </c:strRef>
          </c:cat>
          <c:val>
            <c:numRef>
              <c:f>Dashboard!$F$33:$F$37</c:f>
              <c:numCache>
                <c:formatCode>General</c:formatCode>
                <c:ptCount val="5"/>
                <c:pt idx="0">
                  <c:v>36</c:v>
                </c:pt>
                <c:pt idx="1">
                  <c:v>50</c:v>
                </c:pt>
                <c:pt idx="2">
                  <c:v>18</c:v>
                </c:pt>
                <c:pt idx="3">
                  <c:v>48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1-4BDC-A596-CC5CE0EF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Requisitions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5E1-4BDC-A596-CC5CE0EFA60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5E1-4BDC-A596-CC5CE0EFA60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5E1-4BDC-A596-CC5CE0EFA60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5E1-4BDC-A596-CC5CE0EFA60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5E1-4BDC-A596-CC5CE0EFA6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E1-4BDC-A596-CC5CE0EFA6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E1-4BDC-A596-CC5CE0EFA6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E1-4BDC-A596-CC5CE0EFA6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E1-4BDC-A596-CC5CE0EFA6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E1-4BDC-A596-CC5CE0EFA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Dashboard!$E$33:$E$37</c:f>
              <c:strCache>
                <c:ptCount val="5"/>
                <c:pt idx="0">
                  <c:v>Pending</c:v>
                </c:pt>
                <c:pt idx="1">
                  <c:v>Approved</c:v>
                </c:pt>
                <c:pt idx="2">
                  <c:v>Rejected</c:v>
                </c:pt>
                <c:pt idx="3">
                  <c:v>Dispatched</c:v>
                </c:pt>
                <c:pt idx="4">
                  <c:v>Delivered</c:v>
                </c:pt>
              </c:strCache>
            </c:strRef>
          </c:cat>
          <c:val>
            <c:numRef>
              <c:f>Dashboard!$F$33:$F$37</c:f>
              <c:numCache>
                <c:formatCode>General</c:formatCode>
                <c:ptCount val="5"/>
                <c:pt idx="0">
                  <c:v>36</c:v>
                </c:pt>
                <c:pt idx="1">
                  <c:v>50</c:v>
                </c:pt>
                <c:pt idx="2">
                  <c:v>18</c:v>
                </c:pt>
                <c:pt idx="3">
                  <c:v>48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1-4BDC-A596-CC5CE0EF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7</xdr:col>
      <xdr:colOff>410400</xdr:colOff>
      <xdr:row>25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792480</xdr:colOff>
      <xdr:row>7</xdr:row>
      <xdr:rowOff>175260</xdr:rowOff>
    </xdr:from>
    <xdr:to>
      <xdr:col>12</xdr:col>
      <xdr:colOff>555420</xdr:colOff>
      <xdr:row>24</xdr:row>
      <xdr:rowOff>176340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182880</xdr:colOff>
      <xdr:row>39</xdr:row>
      <xdr:rowOff>99060</xdr:rowOff>
    </xdr:from>
    <xdr:to>
      <xdr:col>13</xdr:col>
      <xdr:colOff>570060</xdr:colOff>
      <xdr:row>56</xdr:row>
      <xdr:rowOff>100140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8</xdr:row>
      <xdr:rowOff>0</xdr:rowOff>
    </xdr:from>
    <xdr:to>
      <xdr:col>29</xdr:col>
      <xdr:colOff>4680</xdr:colOff>
      <xdr:row>25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251460</xdr:colOff>
      <xdr:row>8</xdr:row>
      <xdr:rowOff>0</xdr:rowOff>
    </xdr:from>
    <xdr:to>
      <xdr:col>12</xdr:col>
      <xdr:colOff>14400</xdr:colOff>
      <xdr:row>25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3D2E4-25B7-38A4-92BD-ABDB7170E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838200</xdr:colOff>
      <xdr:row>8</xdr:row>
      <xdr:rowOff>30480</xdr:rowOff>
    </xdr:from>
    <xdr:to>
      <xdr:col>12</xdr:col>
      <xdr:colOff>601140</xdr:colOff>
      <xdr:row>25</xdr:row>
      <xdr:rowOff>31560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1F77C9-4635-979F-4A2F-21BCAF544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  <pageSetUpPr fitToPage="1"/>
  </sheetPr>
  <dimension ref="B2:J3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10" customWidth="1"/>
    <col min="4" max="4" width="80" customWidth="1"/>
    <col min="5" max="10" width="10" customWidth="1"/>
  </cols>
  <sheetData>
    <row r="2" spans="2:10" ht="24.6" x14ac:dyDescent="0.4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5" spans="2:10" ht="33.75" customHeight="1" x14ac:dyDescent="0.3">
      <c r="B5" s="12" t="s">
        <v>2</v>
      </c>
      <c r="C5" s="12"/>
      <c r="D5" s="12"/>
      <c r="E5" s="12"/>
      <c r="F5" s="12"/>
      <c r="G5" s="12"/>
      <c r="H5" s="12"/>
      <c r="I5" s="12"/>
      <c r="J5" s="12"/>
    </row>
    <row r="7" spans="2:10" ht="21.75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</row>
    <row r="8" spans="2:10" ht="42" customHeight="1" x14ac:dyDescent="0.3">
      <c r="B8" s="10" t="s">
        <v>4</v>
      </c>
      <c r="C8" s="10"/>
      <c r="D8" s="10"/>
      <c r="E8" s="10"/>
      <c r="F8" s="10"/>
      <c r="G8" s="10"/>
      <c r="H8" s="10"/>
      <c r="I8" s="10"/>
      <c r="J8" s="10"/>
    </row>
    <row r="10" spans="2:10" ht="21.75" customHeight="1" x14ac:dyDescent="0.3">
      <c r="B10" s="11" t="s">
        <v>5</v>
      </c>
      <c r="C10" s="11"/>
      <c r="D10" s="11"/>
      <c r="E10" s="11"/>
      <c r="F10" s="11"/>
      <c r="G10" s="11"/>
      <c r="H10" s="11"/>
      <c r="I10" s="11"/>
      <c r="J10" s="11"/>
    </row>
    <row r="11" spans="2:10" ht="15" customHeight="1" x14ac:dyDescent="0.3">
      <c r="B11" s="10" t="s">
        <v>6</v>
      </c>
      <c r="C11" s="10"/>
      <c r="D11" s="10"/>
      <c r="E11" s="10"/>
      <c r="F11" s="10"/>
      <c r="G11" s="10"/>
      <c r="H11" s="10"/>
      <c r="I11" s="10"/>
      <c r="J11" s="10"/>
    </row>
    <row r="12" spans="2:10" ht="15" customHeight="1" x14ac:dyDescent="0.3">
      <c r="B12" s="10" t="s">
        <v>7</v>
      </c>
      <c r="C12" s="10"/>
      <c r="D12" s="10"/>
      <c r="E12" s="10"/>
      <c r="F12" s="10"/>
      <c r="G12" s="10"/>
      <c r="H12" s="10"/>
      <c r="I12" s="10"/>
      <c r="J12" s="10"/>
    </row>
    <row r="13" spans="2:10" ht="15" customHeight="1" x14ac:dyDescent="0.3">
      <c r="B13" s="10" t="s">
        <v>8</v>
      </c>
      <c r="C13" s="10"/>
      <c r="D13" s="10"/>
      <c r="E13" s="10"/>
      <c r="F13" s="10"/>
      <c r="G13" s="10"/>
      <c r="H13" s="10"/>
      <c r="I13" s="10"/>
      <c r="J13" s="10"/>
    </row>
    <row r="14" spans="2:10" ht="15" customHeight="1" x14ac:dyDescent="0.3">
      <c r="B14" s="10" t="s">
        <v>9</v>
      </c>
      <c r="C14" s="10"/>
      <c r="D14" s="10"/>
      <c r="E14" s="10"/>
      <c r="F14" s="10"/>
      <c r="G14" s="10"/>
      <c r="H14" s="10"/>
      <c r="I14" s="10"/>
      <c r="J14" s="10"/>
    </row>
    <row r="16" spans="2:10" ht="21.75" customHeight="1" x14ac:dyDescent="0.3">
      <c r="B16" s="11" t="s">
        <v>10</v>
      </c>
      <c r="C16" s="11"/>
      <c r="D16" s="11"/>
      <c r="E16" s="11"/>
      <c r="F16" s="11"/>
      <c r="G16" s="11"/>
      <c r="H16" s="11"/>
      <c r="I16" s="11"/>
      <c r="J16" s="11"/>
    </row>
    <row r="17" spans="2:10" ht="43.5" customHeight="1" x14ac:dyDescent="0.3">
      <c r="B17" s="15" t="s">
        <v>11</v>
      </c>
      <c r="D17" s="10" t="s">
        <v>12</v>
      </c>
      <c r="E17" s="10"/>
      <c r="F17" s="10"/>
      <c r="G17" s="10"/>
      <c r="H17" s="10"/>
      <c r="I17" s="10"/>
      <c r="J17" s="10"/>
    </row>
    <row r="18" spans="2:10" ht="43.5" customHeight="1" x14ac:dyDescent="0.3">
      <c r="B18" s="15" t="s">
        <v>13</v>
      </c>
      <c r="D18" s="10" t="s">
        <v>14</v>
      </c>
      <c r="E18" s="10"/>
      <c r="F18" s="10"/>
      <c r="G18" s="10"/>
      <c r="H18" s="10"/>
      <c r="I18" s="10"/>
      <c r="J18" s="10"/>
    </row>
    <row r="19" spans="2:10" ht="43.5" customHeight="1" x14ac:dyDescent="0.3">
      <c r="B19" s="15" t="s">
        <v>15</v>
      </c>
      <c r="D19" s="10" t="s">
        <v>16</v>
      </c>
      <c r="E19" s="10"/>
      <c r="F19" s="10"/>
      <c r="G19" s="10"/>
      <c r="H19" s="10"/>
      <c r="I19" s="10"/>
      <c r="J19" s="10"/>
    </row>
    <row r="20" spans="2:10" ht="43.5" customHeight="1" x14ac:dyDescent="0.3">
      <c r="B20" s="15" t="s">
        <v>17</v>
      </c>
      <c r="D20" s="10" t="s">
        <v>18</v>
      </c>
      <c r="E20" s="10"/>
      <c r="F20" s="10"/>
      <c r="G20" s="10"/>
      <c r="H20" s="10"/>
      <c r="I20" s="10"/>
      <c r="J20" s="10"/>
    </row>
    <row r="21" spans="2:10" ht="43.5" customHeight="1" x14ac:dyDescent="0.3">
      <c r="B21" s="15" t="s">
        <v>19</v>
      </c>
      <c r="D21" s="10" t="s">
        <v>20</v>
      </c>
      <c r="E21" s="10"/>
      <c r="F21" s="10"/>
      <c r="G21" s="10"/>
      <c r="H21" s="10"/>
      <c r="I21" s="10"/>
      <c r="J21" s="10"/>
    </row>
    <row r="22" spans="2:10" ht="43.5" customHeight="1" x14ac:dyDescent="0.3">
      <c r="B22" s="15" t="s">
        <v>21</v>
      </c>
      <c r="D22" s="10" t="s">
        <v>22</v>
      </c>
      <c r="E22" s="10"/>
      <c r="F22" s="10"/>
      <c r="G22" s="10"/>
      <c r="H22" s="10"/>
      <c r="I22" s="10"/>
      <c r="J22" s="10"/>
    </row>
    <row r="23" spans="2:10" ht="43.5" customHeight="1" x14ac:dyDescent="0.3">
      <c r="B23" s="15" t="s">
        <v>23</v>
      </c>
      <c r="D23" s="10" t="s">
        <v>24</v>
      </c>
      <c r="E23" s="10"/>
      <c r="F23" s="10"/>
      <c r="G23" s="10"/>
      <c r="H23" s="10"/>
      <c r="I23" s="10"/>
      <c r="J23" s="10"/>
    </row>
    <row r="24" spans="2:10" ht="43.5" customHeight="1" x14ac:dyDescent="0.3">
      <c r="B24" s="15" t="s">
        <v>25</v>
      </c>
      <c r="D24" s="10" t="s">
        <v>26</v>
      </c>
      <c r="E24" s="10"/>
      <c r="F24" s="10"/>
      <c r="G24" s="10"/>
      <c r="H24" s="10"/>
      <c r="I24" s="10"/>
      <c r="J24" s="10"/>
    </row>
    <row r="25" spans="2:10" ht="43.5" customHeight="1" x14ac:dyDescent="0.3">
      <c r="B25" s="15" t="s">
        <v>27</v>
      </c>
      <c r="D25" s="10" t="s">
        <v>28</v>
      </c>
      <c r="E25" s="10"/>
      <c r="F25" s="10"/>
      <c r="G25" s="10"/>
      <c r="H25" s="10"/>
      <c r="I25" s="10"/>
      <c r="J25" s="10"/>
    </row>
    <row r="27" spans="2:10" ht="21.75" customHeight="1" x14ac:dyDescent="0.3">
      <c r="B27" s="11" t="s">
        <v>29</v>
      </c>
      <c r="C27" s="11"/>
      <c r="D27" s="11"/>
      <c r="E27" s="11"/>
      <c r="F27" s="11"/>
      <c r="G27" s="11"/>
      <c r="H27" s="11"/>
      <c r="I27" s="11"/>
      <c r="J27" s="11"/>
    </row>
    <row r="28" spans="2:10" ht="15" customHeight="1" x14ac:dyDescent="0.3">
      <c r="B28" s="10" t="s">
        <v>30</v>
      </c>
      <c r="C28" s="10"/>
      <c r="D28" s="10"/>
      <c r="E28" s="10"/>
      <c r="F28" s="10"/>
      <c r="G28" s="10"/>
      <c r="H28" s="10"/>
      <c r="I28" s="10"/>
      <c r="J28" s="10"/>
    </row>
    <row r="29" spans="2:10" ht="15" customHeight="1" x14ac:dyDescent="0.3">
      <c r="B29" s="10" t="s">
        <v>31</v>
      </c>
      <c r="C29" s="10"/>
      <c r="D29" s="10"/>
      <c r="E29" s="10"/>
      <c r="F29" s="10"/>
      <c r="G29" s="10"/>
      <c r="H29" s="10"/>
      <c r="I29" s="10"/>
      <c r="J29" s="10"/>
    </row>
    <row r="30" spans="2:10" ht="15" customHeight="1" x14ac:dyDescent="0.3">
      <c r="B30" s="10" t="s">
        <v>32</v>
      </c>
      <c r="C30" s="10"/>
      <c r="D30" s="10"/>
      <c r="E30" s="10"/>
      <c r="F30" s="10"/>
      <c r="G30" s="10"/>
      <c r="H30" s="10"/>
      <c r="I30" s="10"/>
      <c r="J30" s="10"/>
    </row>
    <row r="31" spans="2:10" ht="15" customHeight="1" x14ac:dyDescent="0.3">
      <c r="B31" s="10" t="s">
        <v>33</v>
      </c>
      <c r="C31" s="10"/>
      <c r="D31" s="10"/>
      <c r="E31" s="10"/>
      <c r="F31" s="10"/>
      <c r="G31" s="10"/>
      <c r="H31" s="10"/>
      <c r="I31" s="10"/>
      <c r="J31" s="10"/>
    </row>
    <row r="32" spans="2:10" ht="15" customHeight="1" x14ac:dyDescent="0.3">
      <c r="B32" s="10" t="s">
        <v>34</v>
      </c>
      <c r="C32" s="10"/>
      <c r="D32" s="10"/>
      <c r="E32" s="10"/>
      <c r="F32" s="10"/>
      <c r="G32" s="10"/>
      <c r="H32" s="10"/>
      <c r="I32" s="10"/>
      <c r="J32" s="10"/>
    </row>
    <row r="33" spans="2:10" ht="15" customHeight="1" x14ac:dyDescent="0.3">
      <c r="B33" s="10" t="s">
        <v>35</v>
      </c>
      <c r="C33" s="10"/>
      <c r="D33" s="10"/>
      <c r="E33" s="10"/>
      <c r="F33" s="10"/>
      <c r="G33" s="10"/>
      <c r="H33" s="10"/>
      <c r="I33" s="10"/>
      <c r="J33" s="10"/>
    </row>
    <row r="34" spans="2:10" ht="15" customHeight="1" x14ac:dyDescent="0.3">
      <c r="B34" s="10" t="s">
        <v>36</v>
      </c>
      <c r="C34" s="10"/>
      <c r="D34" s="10"/>
      <c r="E34" s="10"/>
      <c r="F34" s="10"/>
      <c r="G34" s="10"/>
      <c r="H34" s="10"/>
      <c r="I34" s="10"/>
      <c r="J34" s="10"/>
    </row>
    <row r="36" spans="2:10" ht="21.75" customHeight="1" x14ac:dyDescent="0.3">
      <c r="B36" s="11" t="s">
        <v>37</v>
      </c>
      <c r="C36" s="11"/>
      <c r="D36" s="11"/>
      <c r="E36" s="11"/>
      <c r="F36" s="11"/>
      <c r="G36" s="11"/>
      <c r="H36" s="11"/>
      <c r="I36" s="11"/>
      <c r="J36" s="11"/>
    </row>
    <row r="37" spans="2:10" ht="42" customHeight="1" x14ac:dyDescent="0.3">
      <c r="B37" s="10" t="s">
        <v>38</v>
      </c>
      <c r="C37" s="10"/>
      <c r="D37" s="10"/>
      <c r="E37" s="10"/>
      <c r="F37" s="10"/>
      <c r="G37" s="10"/>
      <c r="H37" s="10"/>
      <c r="I37" s="10"/>
      <c r="J37" s="10"/>
    </row>
  </sheetData>
  <mergeCells count="30">
    <mergeCell ref="B32:J32"/>
    <mergeCell ref="B33:J33"/>
    <mergeCell ref="B34:J34"/>
    <mergeCell ref="B36:J36"/>
    <mergeCell ref="B37:J37"/>
    <mergeCell ref="B27:J27"/>
    <mergeCell ref="B28:J28"/>
    <mergeCell ref="B29:J29"/>
    <mergeCell ref="B30:J30"/>
    <mergeCell ref="B31:J31"/>
    <mergeCell ref="D21:J21"/>
    <mergeCell ref="D22:J22"/>
    <mergeCell ref="D23:J23"/>
    <mergeCell ref="D24:J24"/>
    <mergeCell ref="D25:J25"/>
    <mergeCell ref="B16:J16"/>
    <mergeCell ref="D17:J17"/>
    <mergeCell ref="D18:J18"/>
    <mergeCell ref="D19:J19"/>
    <mergeCell ref="D20:J20"/>
    <mergeCell ref="B10:J10"/>
    <mergeCell ref="B11:J11"/>
    <mergeCell ref="B12:J12"/>
    <mergeCell ref="B13:J13"/>
    <mergeCell ref="B14:J14"/>
    <mergeCell ref="B2:J2"/>
    <mergeCell ref="B3:J3"/>
    <mergeCell ref="B5:J5"/>
    <mergeCell ref="B7:J7"/>
    <mergeCell ref="B8:J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P3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5" width="16" customWidth="1"/>
    <col min="6" max="6" width="22" customWidth="1"/>
    <col min="7" max="15" width="16" customWidth="1"/>
    <col min="16" max="16" width="22" customWidth="1"/>
  </cols>
  <sheetData>
    <row r="1" spans="1:16" ht="26.4" x14ac:dyDescent="0.3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</row>
    <row r="2" spans="1:16" x14ac:dyDescent="0.3">
      <c r="A2" s="17" t="s">
        <v>55</v>
      </c>
      <c r="B2" s="17" t="s">
        <v>56</v>
      </c>
      <c r="C2" s="17" t="s">
        <v>57</v>
      </c>
      <c r="D2" s="17" t="s">
        <v>58</v>
      </c>
      <c r="E2" s="17" t="s">
        <v>59</v>
      </c>
      <c r="F2" s="17" t="s">
        <v>60</v>
      </c>
      <c r="G2" s="17">
        <v>307</v>
      </c>
      <c r="I2" s="17">
        <v>1486.41</v>
      </c>
      <c r="J2" s="17" t="s">
        <v>61</v>
      </c>
      <c r="K2" s="17" t="s">
        <v>62</v>
      </c>
      <c r="L2" s="17" t="s">
        <v>63</v>
      </c>
    </row>
    <row r="3" spans="1:16" x14ac:dyDescent="0.3">
      <c r="A3" s="17" t="s">
        <v>64</v>
      </c>
      <c r="C3" s="17" t="s">
        <v>65</v>
      </c>
      <c r="D3" s="17" t="s">
        <v>66</v>
      </c>
      <c r="E3" s="17" t="s">
        <v>67</v>
      </c>
      <c r="F3" s="17" t="s">
        <v>68</v>
      </c>
      <c r="G3" s="17">
        <v>477</v>
      </c>
      <c r="H3" s="17">
        <v>452</v>
      </c>
      <c r="I3" s="17" t="s">
        <v>69</v>
      </c>
      <c r="J3" s="17" t="s">
        <v>70</v>
      </c>
      <c r="K3" s="17" t="s">
        <v>71</v>
      </c>
      <c r="L3" s="17" t="s">
        <v>63</v>
      </c>
      <c r="M3" s="17" t="s">
        <v>72</v>
      </c>
      <c r="N3" s="17" t="s">
        <v>73</v>
      </c>
      <c r="O3" s="18">
        <v>45823</v>
      </c>
      <c r="P3" s="17" t="s">
        <v>74</v>
      </c>
    </row>
    <row r="4" spans="1:16" x14ac:dyDescent="0.3">
      <c r="A4" s="17" t="s">
        <v>75</v>
      </c>
      <c r="B4" s="18">
        <v>46008</v>
      </c>
      <c r="C4" s="17" t="s">
        <v>76</v>
      </c>
      <c r="D4" s="17" t="s">
        <v>77</v>
      </c>
      <c r="E4" s="17" t="s">
        <v>78</v>
      </c>
      <c r="F4" s="17" t="s">
        <v>79</v>
      </c>
      <c r="G4" s="17">
        <v>0</v>
      </c>
      <c r="H4" s="17">
        <v>331</v>
      </c>
      <c r="I4" s="17">
        <v>9612.58</v>
      </c>
      <c r="J4" s="17" t="s">
        <v>80</v>
      </c>
      <c r="K4" s="17" t="s">
        <v>81</v>
      </c>
      <c r="L4" s="17" t="s">
        <v>82</v>
      </c>
      <c r="N4" s="17" t="s">
        <v>83</v>
      </c>
      <c r="P4" s="17" t="s">
        <v>84</v>
      </c>
    </row>
    <row r="5" spans="1:16" x14ac:dyDescent="0.3">
      <c r="A5" s="17" t="s">
        <v>85</v>
      </c>
      <c r="B5" s="17" t="s">
        <v>86</v>
      </c>
      <c r="C5" s="17" t="s">
        <v>87</v>
      </c>
      <c r="D5" s="17" t="s">
        <v>88</v>
      </c>
      <c r="E5" s="17" t="s">
        <v>89</v>
      </c>
      <c r="F5" s="17" t="s">
        <v>90</v>
      </c>
      <c r="G5" s="17">
        <v>288</v>
      </c>
      <c r="I5" s="17">
        <v>32474.37</v>
      </c>
      <c r="J5" s="17" t="s">
        <v>91</v>
      </c>
      <c r="K5" s="17" t="s">
        <v>92</v>
      </c>
      <c r="L5" s="17" t="s">
        <v>93</v>
      </c>
      <c r="P5" s="17" t="s">
        <v>94</v>
      </c>
    </row>
    <row r="6" spans="1:16" x14ac:dyDescent="0.3">
      <c r="A6" s="17" t="s">
        <v>95</v>
      </c>
      <c r="C6" s="17" t="s">
        <v>96</v>
      </c>
      <c r="D6" s="17" t="s">
        <v>97</v>
      </c>
      <c r="E6" s="17" t="s">
        <v>78</v>
      </c>
      <c r="F6" s="17" t="s">
        <v>98</v>
      </c>
      <c r="G6" s="17">
        <v>480</v>
      </c>
      <c r="H6" s="17">
        <v>452</v>
      </c>
      <c r="I6" s="17" t="s">
        <v>99</v>
      </c>
      <c r="J6" s="17" t="s">
        <v>100</v>
      </c>
      <c r="K6" s="17" t="s">
        <v>101</v>
      </c>
      <c r="L6" s="17" t="s">
        <v>102</v>
      </c>
      <c r="M6" s="17" t="s">
        <v>103</v>
      </c>
      <c r="N6" s="18">
        <v>45991</v>
      </c>
      <c r="P6" s="17" t="s">
        <v>104</v>
      </c>
    </row>
    <row r="7" spans="1:16" x14ac:dyDescent="0.3">
      <c r="A7" s="17" t="s">
        <v>105</v>
      </c>
      <c r="B7" s="17" t="s">
        <v>106</v>
      </c>
      <c r="C7" s="17" t="s">
        <v>107</v>
      </c>
      <c r="D7" s="17" t="s">
        <v>108</v>
      </c>
      <c r="E7" s="17" t="s">
        <v>109</v>
      </c>
      <c r="F7" s="17" t="s">
        <v>110</v>
      </c>
      <c r="G7" s="17">
        <v>15</v>
      </c>
      <c r="H7" s="17">
        <v>11</v>
      </c>
      <c r="I7" s="17" t="s">
        <v>111</v>
      </c>
      <c r="J7" s="17" t="s">
        <v>80</v>
      </c>
      <c r="K7" s="17" t="s">
        <v>112</v>
      </c>
      <c r="L7" s="17" t="s">
        <v>113</v>
      </c>
      <c r="N7" s="17" t="s">
        <v>114</v>
      </c>
      <c r="P7" s="17" t="s">
        <v>115</v>
      </c>
    </row>
    <row r="8" spans="1:16" x14ac:dyDescent="0.3">
      <c r="A8" s="17" t="s">
        <v>116</v>
      </c>
      <c r="C8" s="17" t="s">
        <v>117</v>
      </c>
      <c r="D8" s="17" t="s">
        <v>118</v>
      </c>
      <c r="E8" s="17" t="s">
        <v>119</v>
      </c>
      <c r="F8" s="17" t="s">
        <v>120</v>
      </c>
      <c r="G8" s="17">
        <v>103</v>
      </c>
      <c r="H8" s="17">
        <v>85</v>
      </c>
      <c r="I8" s="17" t="s">
        <v>121</v>
      </c>
      <c r="J8" s="17" t="s">
        <v>61</v>
      </c>
      <c r="K8" s="17" t="s">
        <v>71</v>
      </c>
      <c r="L8" s="17" t="s">
        <v>122</v>
      </c>
      <c r="M8" s="18">
        <v>45868</v>
      </c>
      <c r="N8" s="17" t="s">
        <v>123</v>
      </c>
      <c r="O8" s="17" t="s">
        <v>124</v>
      </c>
      <c r="P8" s="17" t="s">
        <v>104</v>
      </c>
    </row>
    <row r="9" spans="1:16" x14ac:dyDescent="0.3">
      <c r="A9" s="17" t="s">
        <v>125</v>
      </c>
      <c r="B9" s="17" t="s">
        <v>126</v>
      </c>
      <c r="C9" s="17" t="s">
        <v>127</v>
      </c>
      <c r="D9" s="17" t="s">
        <v>97</v>
      </c>
      <c r="E9" s="17" t="s">
        <v>128</v>
      </c>
      <c r="F9" s="17" t="s">
        <v>60</v>
      </c>
      <c r="G9" s="17">
        <v>0</v>
      </c>
      <c r="H9" s="17">
        <v>33</v>
      </c>
      <c r="I9" s="17">
        <v>23971.01</v>
      </c>
      <c r="J9" s="17" t="s">
        <v>61</v>
      </c>
      <c r="K9" s="17" t="s">
        <v>129</v>
      </c>
      <c r="L9" s="17" t="s">
        <v>113</v>
      </c>
      <c r="M9" s="18">
        <v>45688</v>
      </c>
      <c r="N9" s="17" t="s">
        <v>130</v>
      </c>
      <c r="P9" s="17" t="s">
        <v>115</v>
      </c>
    </row>
    <row r="10" spans="1:16" x14ac:dyDescent="0.3">
      <c r="A10" s="17" t="s">
        <v>131</v>
      </c>
      <c r="B10" s="17" t="s">
        <v>132</v>
      </c>
      <c r="C10" s="17" t="s">
        <v>133</v>
      </c>
      <c r="D10" s="17" t="s">
        <v>88</v>
      </c>
      <c r="E10" s="17" t="s">
        <v>128</v>
      </c>
      <c r="F10" s="17" t="s">
        <v>134</v>
      </c>
      <c r="G10" s="17">
        <v>239</v>
      </c>
      <c r="H10" s="17">
        <v>174</v>
      </c>
      <c r="I10" s="17">
        <v>24262.9</v>
      </c>
      <c r="J10" s="17" t="s">
        <v>80</v>
      </c>
      <c r="L10" s="17" t="s">
        <v>63</v>
      </c>
      <c r="M10" s="18">
        <v>45828</v>
      </c>
      <c r="N10" s="17" t="s">
        <v>135</v>
      </c>
      <c r="O10" s="17" t="s">
        <v>136</v>
      </c>
      <c r="P10" s="17" t="s">
        <v>137</v>
      </c>
    </row>
    <row r="11" spans="1:16" x14ac:dyDescent="0.3">
      <c r="A11" s="17" t="s">
        <v>138</v>
      </c>
      <c r="B11" s="17" t="s">
        <v>139</v>
      </c>
      <c r="C11" s="17" t="s">
        <v>65</v>
      </c>
      <c r="D11" s="17" t="s">
        <v>66</v>
      </c>
      <c r="E11" s="17" t="s">
        <v>140</v>
      </c>
      <c r="F11" s="17" t="s">
        <v>141</v>
      </c>
      <c r="G11" s="17">
        <v>356</v>
      </c>
      <c r="H11" s="17">
        <v>301</v>
      </c>
      <c r="I11" s="17" t="s">
        <v>142</v>
      </c>
      <c r="J11" s="17" t="s">
        <v>143</v>
      </c>
      <c r="K11" s="17" t="s">
        <v>129</v>
      </c>
      <c r="L11" s="17" t="s">
        <v>122</v>
      </c>
      <c r="N11" s="18">
        <v>45810</v>
      </c>
      <c r="P11" s="17" t="s">
        <v>144</v>
      </c>
    </row>
    <row r="12" spans="1:16" x14ac:dyDescent="0.3">
      <c r="A12" s="17" t="s">
        <v>145</v>
      </c>
      <c r="B12" s="17" t="s">
        <v>146</v>
      </c>
      <c r="C12" s="17" t="s">
        <v>147</v>
      </c>
      <c r="D12" s="17" t="s">
        <v>148</v>
      </c>
      <c r="E12" s="17" t="s">
        <v>149</v>
      </c>
      <c r="F12" s="17" t="s">
        <v>150</v>
      </c>
      <c r="G12" s="17">
        <v>404</v>
      </c>
      <c r="H12" s="17">
        <v>400</v>
      </c>
      <c r="I12" s="17">
        <v>33764.07</v>
      </c>
      <c r="J12" s="17" t="s">
        <v>100</v>
      </c>
      <c r="K12" s="17" t="s">
        <v>71</v>
      </c>
      <c r="L12" s="17" t="s">
        <v>151</v>
      </c>
      <c r="M12" s="18">
        <v>45769</v>
      </c>
      <c r="N12" s="17" t="s">
        <v>152</v>
      </c>
      <c r="O12" s="17" t="s">
        <v>72</v>
      </c>
      <c r="P12" s="17" t="s">
        <v>153</v>
      </c>
    </row>
    <row r="13" spans="1:16" x14ac:dyDescent="0.3">
      <c r="A13" s="17" t="s">
        <v>154</v>
      </c>
      <c r="B13" s="18">
        <v>45826</v>
      </c>
      <c r="C13" s="17" t="s">
        <v>155</v>
      </c>
      <c r="D13" s="17" t="s">
        <v>156</v>
      </c>
      <c r="E13" s="17" t="s">
        <v>157</v>
      </c>
      <c r="F13" s="17" t="s">
        <v>158</v>
      </c>
      <c r="G13" s="17">
        <v>184</v>
      </c>
      <c r="H13" s="17">
        <v>182</v>
      </c>
      <c r="I13" s="17" t="s">
        <v>159</v>
      </c>
      <c r="J13" s="17" t="s">
        <v>160</v>
      </c>
      <c r="K13" s="17" t="s">
        <v>81</v>
      </c>
      <c r="L13" s="17" t="s">
        <v>151</v>
      </c>
      <c r="N13" s="17" t="s">
        <v>161</v>
      </c>
      <c r="P13" s="17" t="s">
        <v>162</v>
      </c>
    </row>
    <row r="14" spans="1:16" x14ac:dyDescent="0.3">
      <c r="A14" s="17" t="s">
        <v>163</v>
      </c>
      <c r="B14" s="17" t="s">
        <v>164</v>
      </c>
      <c r="C14" s="17" t="s">
        <v>165</v>
      </c>
      <c r="D14" s="17" t="s">
        <v>156</v>
      </c>
      <c r="E14" s="17" t="s">
        <v>166</v>
      </c>
      <c r="F14" s="17" t="s">
        <v>167</v>
      </c>
      <c r="G14" s="17">
        <v>264</v>
      </c>
      <c r="H14" s="17">
        <v>216</v>
      </c>
      <c r="I14" s="17">
        <v>13410.14</v>
      </c>
      <c r="J14" s="17" t="s">
        <v>61</v>
      </c>
      <c r="K14" s="17" t="s">
        <v>81</v>
      </c>
      <c r="L14" s="17" t="s">
        <v>113</v>
      </c>
      <c r="M14" s="17" t="s">
        <v>168</v>
      </c>
      <c r="N14" s="17" t="s">
        <v>169</v>
      </c>
      <c r="P14" s="17" t="s">
        <v>170</v>
      </c>
    </row>
    <row r="15" spans="1:16" x14ac:dyDescent="0.3">
      <c r="A15" s="17" t="s">
        <v>171</v>
      </c>
      <c r="B15" s="18">
        <v>45997</v>
      </c>
      <c r="C15" s="17" t="s">
        <v>96</v>
      </c>
      <c r="D15" s="17" t="s">
        <v>88</v>
      </c>
      <c r="E15" s="17" t="s">
        <v>128</v>
      </c>
      <c r="F15" s="17" t="s">
        <v>172</v>
      </c>
      <c r="G15" s="17">
        <v>424</v>
      </c>
      <c r="H15" s="17">
        <v>336</v>
      </c>
      <c r="I15" s="17" t="s">
        <v>173</v>
      </c>
      <c r="J15" s="17" t="s">
        <v>174</v>
      </c>
      <c r="K15" s="17" t="s">
        <v>175</v>
      </c>
      <c r="L15" s="17" t="s">
        <v>63</v>
      </c>
      <c r="M15" s="17" t="s">
        <v>176</v>
      </c>
      <c r="P15" s="17" t="s">
        <v>177</v>
      </c>
    </row>
    <row r="16" spans="1:16" x14ac:dyDescent="0.3">
      <c r="A16" s="17" t="s">
        <v>178</v>
      </c>
      <c r="B16" s="17" t="s">
        <v>179</v>
      </c>
      <c r="C16" s="17" t="s">
        <v>180</v>
      </c>
      <c r="D16" s="17" t="s">
        <v>181</v>
      </c>
      <c r="E16" s="17" t="s">
        <v>157</v>
      </c>
      <c r="F16" s="17" t="s">
        <v>182</v>
      </c>
      <c r="G16" s="17">
        <v>491</v>
      </c>
      <c r="I16" s="17" t="s">
        <v>183</v>
      </c>
      <c r="J16" s="17" t="s">
        <v>184</v>
      </c>
      <c r="K16" s="17" t="s">
        <v>185</v>
      </c>
      <c r="L16" s="17" t="s">
        <v>186</v>
      </c>
    </row>
    <row r="17" spans="1:16" x14ac:dyDescent="0.3">
      <c r="A17" s="17" t="s">
        <v>187</v>
      </c>
      <c r="B17" s="17" t="s">
        <v>188</v>
      </c>
      <c r="C17" s="17" t="s">
        <v>165</v>
      </c>
      <c r="D17" s="17" t="s">
        <v>189</v>
      </c>
      <c r="E17" s="17" t="s">
        <v>190</v>
      </c>
      <c r="F17" s="17" t="s">
        <v>68</v>
      </c>
      <c r="G17" s="17">
        <v>360</v>
      </c>
      <c r="I17" s="17">
        <v>9745.7900000000009</v>
      </c>
      <c r="J17" s="17" t="s">
        <v>191</v>
      </c>
      <c r="K17" s="17" t="s">
        <v>192</v>
      </c>
      <c r="L17" s="17" t="s">
        <v>193</v>
      </c>
      <c r="P17" s="17" t="s">
        <v>84</v>
      </c>
    </row>
    <row r="18" spans="1:16" x14ac:dyDescent="0.3">
      <c r="A18" s="17" t="s">
        <v>194</v>
      </c>
      <c r="B18" s="17" t="s">
        <v>195</v>
      </c>
      <c r="C18" s="17" t="s">
        <v>76</v>
      </c>
      <c r="D18" s="17" t="s">
        <v>77</v>
      </c>
      <c r="E18" s="17" t="s">
        <v>78</v>
      </c>
      <c r="F18" s="17" t="s">
        <v>196</v>
      </c>
      <c r="G18" s="17">
        <v>-253</v>
      </c>
      <c r="H18" s="17">
        <v>228</v>
      </c>
      <c r="I18" s="17" t="s">
        <v>197</v>
      </c>
      <c r="J18" s="17" t="s">
        <v>198</v>
      </c>
      <c r="K18" s="17" t="s">
        <v>199</v>
      </c>
      <c r="L18" s="17" t="s">
        <v>193</v>
      </c>
      <c r="M18" s="17" t="s">
        <v>200</v>
      </c>
      <c r="N18" s="18">
        <v>45792</v>
      </c>
      <c r="P18" s="17" t="s">
        <v>201</v>
      </c>
    </row>
    <row r="19" spans="1:16" x14ac:dyDescent="0.3">
      <c r="A19" s="17" t="s">
        <v>202</v>
      </c>
      <c r="B19" s="17" t="s">
        <v>203</v>
      </c>
      <c r="C19" s="17" t="s">
        <v>204</v>
      </c>
      <c r="D19" s="17" t="s">
        <v>77</v>
      </c>
      <c r="E19" s="17" t="s">
        <v>78</v>
      </c>
      <c r="F19" s="17" t="s">
        <v>98</v>
      </c>
      <c r="G19" s="17">
        <v>0</v>
      </c>
      <c r="H19" s="17">
        <v>372</v>
      </c>
      <c r="I19" s="17">
        <v>28016.9</v>
      </c>
      <c r="J19" s="17" t="s">
        <v>61</v>
      </c>
      <c r="K19" s="17" t="s">
        <v>101</v>
      </c>
      <c r="L19" s="17" t="s">
        <v>205</v>
      </c>
      <c r="M19" s="18">
        <v>45841</v>
      </c>
      <c r="N19" s="17" t="s">
        <v>206</v>
      </c>
      <c r="P19" s="17" t="s">
        <v>207</v>
      </c>
    </row>
    <row r="20" spans="1:16" x14ac:dyDescent="0.3">
      <c r="A20" s="17" t="s">
        <v>208</v>
      </c>
      <c r="B20" s="18">
        <v>46014</v>
      </c>
      <c r="C20" s="17" t="s">
        <v>165</v>
      </c>
      <c r="D20" s="17" t="s">
        <v>209</v>
      </c>
      <c r="E20" s="17" t="s">
        <v>210</v>
      </c>
      <c r="F20" s="17" t="s">
        <v>182</v>
      </c>
      <c r="G20" s="17">
        <v>182</v>
      </c>
      <c r="H20" s="17">
        <v>131</v>
      </c>
      <c r="I20" s="17" t="s">
        <v>211</v>
      </c>
      <c r="J20" s="17" t="s">
        <v>80</v>
      </c>
      <c r="K20" s="17" t="s">
        <v>212</v>
      </c>
      <c r="L20" s="17" t="s">
        <v>63</v>
      </c>
      <c r="M20" s="17" t="s">
        <v>213</v>
      </c>
      <c r="N20" s="18">
        <v>46033</v>
      </c>
      <c r="O20" s="18">
        <v>46043</v>
      </c>
      <c r="P20" s="17" t="s">
        <v>115</v>
      </c>
    </row>
    <row r="21" spans="1:16" x14ac:dyDescent="0.3">
      <c r="A21" s="17" t="s">
        <v>214</v>
      </c>
      <c r="B21" s="17" t="s">
        <v>215</v>
      </c>
      <c r="C21" s="17" t="s">
        <v>216</v>
      </c>
      <c r="D21" s="17" t="s">
        <v>88</v>
      </c>
      <c r="E21" s="17" t="s">
        <v>217</v>
      </c>
      <c r="F21" s="17" t="s">
        <v>218</v>
      </c>
      <c r="G21" s="17">
        <v>258</v>
      </c>
      <c r="H21" s="17">
        <v>197</v>
      </c>
      <c r="I21" s="17" t="s">
        <v>219</v>
      </c>
      <c r="J21" s="17" t="s">
        <v>143</v>
      </c>
      <c r="K21" s="17" t="s">
        <v>71</v>
      </c>
      <c r="L21" s="17" t="s">
        <v>205</v>
      </c>
      <c r="M21" s="17" t="s">
        <v>220</v>
      </c>
      <c r="N21" s="18">
        <v>45989</v>
      </c>
      <c r="O21" s="17" t="s">
        <v>221</v>
      </c>
      <c r="P21" s="17" t="s">
        <v>222</v>
      </c>
    </row>
    <row r="22" spans="1:16" x14ac:dyDescent="0.3">
      <c r="A22" s="17" t="s">
        <v>223</v>
      </c>
      <c r="B22" s="17" t="s">
        <v>224</v>
      </c>
      <c r="C22" s="17" t="s">
        <v>225</v>
      </c>
      <c r="D22" s="17" t="s">
        <v>226</v>
      </c>
      <c r="E22" s="17" t="s">
        <v>227</v>
      </c>
      <c r="F22" s="17" t="s">
        <v>228</v>
      </c>
      <c r="G22" s="17">
        <v>123</v>
      </c>
      <c r="H22" s="17">
        <v>90</v>
      </c>
      <c r="I22" s="17">
        <v>24183.5</v>
      </c>
      <c r="J22" s="17" t="s">
        <v>229</v>
      </c>
      <c r="K22" s="17" t="s">
        <v>175</v>
      </c>
      <c r="L22" s="17" t="s">
        <v>186</v>
      </c>
      <c r="N22" s="18">
        <v>46031</v>
      </c>
      <c r="P22" s="17" t="s">
        <v>230</v>
      </c>
    </row>
    <row r="23" spans="1:16" x14ac:dyDescent="0.3">
      <c r="A23" s="17" t="s">
        <v>231</v>
      </c>
      <c r="C23" s="17" t="s">
        <v>232</v>
      </c>
      <c r="D23" s="17" t="s">
        <v>88</v>
      </c>
      <c r="E23" s="17" t="s">
        <v>233</v>
      </c>
      <c r="F23" s="17" t="s">
        <v>234</v>
      </c>
      <c r="G23" s="17">
        <v>99</v>
      </c>
      <c r="H23" s="17">
        <v>94</v>
      </c>
      <c r="I23" s="17">
        <v>5266.81</v>
      </c>
      <c r="J23" s="17" t="s">
        <v>184</v>
      </c>
      <c r="K23" s="17" t="s">
        <v>175</v>
      </c>
      <c r="L23" s="17" t="s">
        <v>93</v>
      </c>
      <c r="M23" s="17" t="s">
        <v>235</v>
      </c>
      <c r="N23" s="18">
        <v>45822</v>
      </c>
      <c r="P23" s="17" t="s">
        <v>236</v>
      </c>
    </row>
    <row r="24" spans="1:16" x14ac:dyDescent="0.3">
      <c r="A24" s="17" t="s">
        <v>237</v>
      </c>
      <c r="B24" s="18">
        <v>45708</v>
      </c>
      <c r="C24" s="17" t="s">
        <v>238</v>
      </c>
      <c r="D24" s="17" t="s">
        <v>226</v>
      </c>
      <c r="E24" s="17" t="s">
        <v>149</v>
      </c>
      <c r="F24" s="17" t="s">
        <v>234</v>
      </c>
      <c r="G24" s="17">
        <v>140</v>
      </c>
      <c r="H24" s="17">
        <v>105</v>
      </c>
      <c r="I24" s="17">
        <v>3516.66</v>
      </c>
      <c r="J24" s="17" t="s">
        <v>191</v>
      </c>
      <c r="K24" s="17" t="s">
        <v>71</v>
      </c>
      <c r="L24" s="17" t="s">
        <v>239</v>
      </c>
      <c r="M24" s="17" t="s">
        <v>130</v>
      </c>
      <c r="N24" s="17" t="s">
        <v>240</v>
      </c>
      <c r="O24" s="17" t="s">
        <v>241</v>
      </c>
      <c r="P24" s="17" t="s">
        <v>242</v>
      </c>
    </row>
    <row r="25" spans="1:16" x14ac:dyDescent="0.3">
      <c r="A25" s="17" t="s">
        <v>243</v>
      </c>
      <c r="B25" s="17" t="s">
        <v>244</v>
      </c>
      <c r="C25" s="17" t="s">
        <v>238</v>
      </c>
      <c r="D25" s="17" t="s">
        <v>226</v>
      </c>
      <c r="E25" s="17" t="s">
        <v>245</v>
      </c>
      <c r="F25" s="17" t="s">
        <v>134</v>
      </c>
      <c r="G25" s="17">
        <v>487</v>
      </c>
      <c r="H25" s="17">
        <v>404</v>
      </c>
      <c r="J25" s="17" t="s">
        <v>143</v>
      </c>
      <c r="K25" s="17" t="s">
        <v>175</v>
      </c>
      <c r="L25" s="17" t="s">
        <v>246</v>
      </c>
      <c r="M25" s="18">
        <v>45728</v>
      </c>
      <c r="N25" s="18">
        <v>45756</v>
      </c>
      <c r="P25" s="17" t="s">
        <v>247</v>
      </c>
    </row>
    <row r="26" spans="1:16" x14ac:dyDescent="0.3">
      <c r="A26" s="17" t="s">
        <v>248</v>
      </c>
      <c r="C26" s="17" t="s">
        <v>180</v>
      </c>
      <c r="D26" s="17" t="s">
        <v>249</v>
      </c>
      <c r="E26" s="17" t="s">
        <v>227</v>
      </c>
      <c r="F26" s="17" t="s">
        <v>250</v>
      </c>
      <c r="G26" s="17">
        <v>173</v>
      </c>
      <c r="H26" s="17">
        <v>155</v>
      </c>
      <c r="J26" s="17" t="s">
        <v>160</v>
      </c>
      <c r="K26" s="17" t="s">
        <v>251</v>
      </c>
      <c r="L26" s="17" t="s">
        <v>239</v>
      </c>
      <c r="M26" s="18">
        <v>45837</v>
      </c>
      <c r="P26" s="17" t="s">
        <v>252</v>
      </c>
    </row>
    <row r="27" spans="1:16" x14ac:dyDescent="0.3">
      <c r="A27" s="17" t="s">
        <v>253</v>
      </c>
      <c r="B27" s="17" t="s">
        <v>254</v>
      </c>
      <c r="C27" s="17" t="s">
        <v>255</v>
      </c>
      <c r="D27" s="17" t="s">
        <v>256</v>
      </c>
      <c r="E27" s="17" t="s">
        <v>257</v>
      </c>
      <c r="F27" s="17" t="s">
        <v>258</v>
      </c>
      <c r="G27" s="17">
        <v>164</v>
      </c>
      <c r="H27" s="17">
        <v>119</v>
      </c>
      <c r="I27" s="17" t="s">
        <v>259</v>
      </c>
      <c r="J27" s="17" t="s">
        <v>260</v>
      </c>
      <c r="K27" s="17" t="s">
        <v>261</v>
      </c>
      <c r="L27" s="17" t="s">
        <v>82</v>
      </c>
      <c r="M27" s="18">
        <v>45674</v>
      </c>
      <c r="N27" s="17" t="s">
        <v>262</v>
      </c>
      <c r="O27" s="18">
        <v>45691</v>
      </c>
      <c r="P27" s="17" t="s">
        <v>263</v>
      </c>
    </row>
    <row r="28" spans="1:16" x14ac:dyDescent="0.3">
      <c r="A28" s="17" t="s">
        <v>264</v>
      </c>
      <c r="B28" s="17" t="s">
        <v>265</v>
      </c>
      <c r="C28" s="17" t="s">
        <v>147</v>
      </c>
      <c r="D28" s="17" t="s">
        <v>266</v>
      </c>
      <c r="E28" s="17" t="s">
        <v>128</v>
      </c>
      <c r="F28" s="17" t="s">
        <v>172</v>
      </c>
      <c r="G28" s="17">
        <v>233</v>
      </c>
      <c r="H28" s="17">
        <v>201</v>
      </c>
      <c r="I28" s="17">
        <v>24522.84</v>
      </c>
      <c r="J28" s="17" t="s">
        <v>184</v>
      </c>
      <c r="K28" s="17" t="s">
        <v>212</v>
      </c>
      <c r="L28" s="17" t="s">
        <v>122</v>
      </c>
      <c r="M28" s="17" t="s">
        <v>267</v>
      </c>
      <c r="N28" s="17" t="s">
        <v>164</v>
      </c>
      <c r="O28" s="17" t="s">
        <v>268</v>
      </c>
      <c r="P28" s="17" t="s">
        <v>269</v>
      </c>
    </row>
    <row r="29" spans="1:16" x14ac:dyDescent="0.3">
      <c r="A29" s="17" t="s">
        <v>270</v>
      </c>
      <c r="B29" s="17" t="s">
        <v>271</v>
      </c>
      <c r="C29" s="17" t="s">
        <v>232</v>
      </c>
      <c r="D29" s="17" t="s">
        <v>272</v>
      </c>
      <c r="E29" s="17" t="s">
        <v>273</v>
      </c>
      <c r="F29" s="17" t="s">
        <v>274</v>
      </c>
      <c r="G29" s="17">
        <v>405</v>
      </c>
      <c r="H29" s="17">
        <v>367</v>
      </c>
      <c r="I29" s="17" t="s">
        <v>275</v>
      </c>
      <c r="J29" s="17" t="s">
        <v>100</v>
      </c>
      <c r="K29" s="17" t="s">
        <v>71</v>
      </c>
      <c r="L29" s="17" t="s">
        <v>276</v>
      </c>
      <c r="M29" s="17" t="s">
        <v>277</v>
      </c>
      <c r="O29" s="18">
        <v>46037</v>
      </c>
      <c r="P29" s="17" t="s">
        <v>278</v>
      </c>
    </row>
    <row r="30" spans="1:16" x14ac:dyDescent="0.3">
      <c r="A30" s="17" t="s">
        <v>279</v>
      </c>
      <c r="B30" s="17" t="s">
        <v>280</v>
      </c>
      <c r="C30" s="17" t="s">
        <v>281</v>
      </c>
      <c r="D30" s="17" t="s">
        <v>266</v>
      </c>
      <c r="E30" s="17" t="s">
        <v>59</v>
      </c>
      <c r="F30" s="17" t="s">
        <v>282</v>
      </c>
      <c r="G30" s="17">
        <v>294</v>
      </c>
      <c r="I30" s="17" t="s">
        <v>283</v>
      </c>
      <c r="K30" s="17" t="s">
        <v>92</v>
      </c>
      <c r="L30" s="17" t="s">
        <v>284</v>
      </c>
      <c r="P30" s="17" t="s">
        <v>144</v>
      </c>
    </row>
    <row r="31" spans="1:16" x14ac:dyDescent="0.3">
      <c r="A31" s="17" t="s">
        <v>285</v>
      </c>
      <c r="B31" s="18">
        <v>45891</v>
      </c>
      <c r="C31" s="17" t="s">
        <v>286</v>
      </c>
      <c r="D31" s="17" t="s">
        <v>226</v>
      </c>
      <c r="E31" s="17" t="s">
        <v>89</v>
      </c>
      <c r="F31" s="17" t="s">
        <v>287</v>
      </c>
      <c r="G31" s="17">
        <v>441</v>
      </c>
      <c r="H31" s="17">
        <v>384</v>
      </c>
      <c r="I31" s="17">
        <v>25930.32</v>
      </c>
      <c r="J31" s="17" t="s">
        <v>191</v>
      </c>
      <c r="K31" s="17" t="s">
        <v>288</v>
      </c>
      <c r="L31" s="17" t="s">
        <v>284</v>
      </c>
      <c r="M31" s="18">
        <v>45896</v>
      </c>
      <c r="N31" s="17" t="s">
        <v>289</v>
      </c>
      <c r="O31" s="17" t="s">
        <v>290</v>
      </c>
      <c r="P31" s="17" t="s">
        <v>278</v>
      </c>
    </row>
    <row r="32" spans="1:16" x14ac:dyDescent="0.3">
      <c r="A32" s="17" t="s">
        <v>291</v>
      </c>
      <c r="B32" s="17" t="s">
        <v>292</v>
      </c>
      <c r="C32" s="17" t="s">
        <v>293</v>
      </c>
      <c r="D32" s="17" t="s">
        <v>294</v>
      </c>
      <c r="E32" s="17" t="s">
        <v>128</v>
      </c>
      <c r="F32" s="17" t="s">
        <v>134</v>
      </c>
      <c r="G32" s="17">
        <v>470</v>
      </c>
      <c r="H32" s="17">
        <v>353</v>
      </c>
      <c r="I32" s="17" t="s">
        <v>295</v>
      </c>
      <c r="J32" s="17" t="s">
        <v>191</v>
      </c>
      <c r="K32" s="17" t="s">
        <v>129</v>
      </c>
      <c r="L32" s="17" t="s">
        <v>63</v>
      </c>
      <c r="M32" s="17" t="s">
        <v>296</v>
      </c>
      <c r="N32" s="17" t="s">
        <v>297</v>
      </c>
      <c r="P32" s="17" t="s">
        <v>94</v>
      </c>
    </row>
    <row r="33" spans="1:16" x14ac:dyDescent="0.3">
      <c r="A33" s="17" t="s">
        <v>298</v>
      </c>
      <c r="C33" s="17" t="s">
        <v>299</v>
      </c>
      <c r="D33" s="17" t="s">
        <v>77</v>
      </c>
      <c r="E33" s="17" t="s">
        <v>78</v>
      </c>
      <c r="F33" s="17" t="s">
        <v>98</v>
      </c>
      <c r="G33" s="17">
        <v>426</v>
      </c>
      <c r="I33" s="17">
        <v>30416.42</v>
      </c>
      <c r="J33" s="17" t="s">
        <v>229</v>
      </c>
      <c r="K33" s="17" t="s">
        <v>300</v>
      </c>
      <c r="L33" s="17" t="s">
        <v>193</v>
      </c>
      <c r="P33" s="17" t="s">
        <v>252</v>
      </c>
    </row>
    <row r="34" spans="1:16" x14ac:dyDescent="0.3">
      <c r="A34" s="17" t="s">
        <v>301</v>
      </c>
      <c r="B34" s="18">
        <v>45872</v>
      </c>
      <c r="C34" s="17" t="s">
        <v>87</v>
      </c>
      <c r="D34" s="17" t="s">
        <v>181</v>
      </c>
      <c r="E34" s="17" t="s">
        <v>302</v>
      </c>
      <c r="F34" s="17" t="s">
        <v>68</v>
      </c>
      <c r="G34" s="17">
        <v>340</v>
      </c>
      <c r="H34" s="17">
        <v>279</v>
      </c>
      <c r="I34" s="17">
        <v>42825.74</v>
      </c>
      <c r="J34" s="17" t="s">
        <v>303</v>
      </c>
      <c r="K34" s="17" t="s">
        <v>129</v>
      </c>
      <c r="L34" s="17" t="s">
        <v>276</v>
      </c>
      <c r="N34" s="18">
        <v>45900</v>
      </c>
      <c r="P34" s="17" t="s">
        <v>84</v>
      </c>
    </row>
    <row r="35" spans="1:16" x14ac:dyDescent="0.3">
      <c r="A35" s="17" t="s">
        <v>304</v>
      </c>
      <c r="B35" s="17" t="s">
        <v>305</v>
      </c>
      <c r="C35" s="17" t="s">
        <v>306</v>
      </c>
      <c r="D35" s="17" t="s">
        <v>266</v>
      </c>
      <c r="E35" s="17" t="s">
        <v>210</v>
      </c>
      <c r="F35" s="17" t="s">
        <v>307</v>
      </c>
      <c r="G35" s="17">
        <v>421</v>
      </c>
      <c r="H35" s="17">
        <v>313</v>
      </c>
      <c r="I35" s="17" t="s">
        <v>308</v>
      </c>
      <c r="J35" s="17" t="s">
        <v>191</v>
      </c>
      <c r="L35" s="17" t="s">
        <v>309</v>
      </c>
      <c r="N35" s="18">
        <v>45961</v>
      </c>
      <c r="P35" s="17" t="s">
        <v>310</v>
      </c>
    </row>
    <row r="36" spans="1:16" x14ac:dyDescent="0.3">
      <c r="A36" s="17" t="s">
        <v>311</v>
      </c>
      <c r="B36" s="17" t="s">
        <v>312</v>
      </c>
      <c r="C36" s="17" t="s">
        <v>232</v>
      </c>
      <c r="D36" s="17" t="s">
        <v>272</v>
      </c>
      <c r="E36" s="17" t="s">
        <v>227</v>
      </c>
      <c r="F36" s="17" t="s">
        <v>68</v>
      </c>
      <c r="G36" s="17">
        <v>377</v>
      </c>
      <c r="I36" s="17" t="s">
        <v>313</v>
      </c>
      <c r="J36" s="17" t="s">
        <v>303</v>
      </c>
      <c r="K36" s="17" t="s">
        <v>62</v>
      </c>
      <c r="L36" s="17" t="s">
        <v>314</v>
      </c>
      <c r="P36" s="17" t="s">
        <v>315</v>
      </c>
    </row>
    <row r="37" spans="1:16" x14ac:dyDescent="0.3">
      <c r="A37" s="17" t="s">
        <v>316</v>
      </c>
      <c r="B37" s="17" t="s">
        <v>317</v>
      </c>
      <c r="C37" s="17" t="s">
        <v>318</v>
      </c>
      <c r="D37" s="17" t="s">
        <v>148</v>
      </c>
      <c r="E37" s="17" t="s">
        <v>319</v>
      </c>
      <c r="F37" s="17" t="s">
        <v>320</v>
      </c>
      <c r="G37" s="17">
        <v>411</v>
      </c>
      <c r="H37" s="17">
        <v>367</v>
      </c>
      <c r="I37" s="17" t="s">
        <v>321</v>
      </c>
      <c r="J37" s="17" t="s">
        <v>184</v>
      </c>
      <c r="K37" s="17" t="s">
        <v>175</v>
      </c>
      <c r="L37" s="17" t="s">
        <v>205</v>
      </c>
      <c r="M37" s="18">
        <v>45894</v>
      </c>
      <c r="N37" s="17" t="s">
        <v>322</v>
      </c>
      <c r="P37" s="17" t="s">
        <v>252</v>
      </c>
    </row>
    <row r="38" spans="1:16" x14ac:dyDescent="0.3">
      <c r="A38" s="17" t="s">
        <v>323</v>
      </c>
      <c r="C38" s="17" t="s">
        <v>306</v>
      </c>
      <c r="D38" s="17" t="s">
        <v>294</v>
      </c>
      <c r="E38" s="17" t="s">
        <v>319</v>
      </c>
      <c r="F38" s="17" t="s">
        <v>196</v>
      </c>
      <c r="G38" s="17">
        <v>452</v>
      </c>
      <c r="H38" s="17">
        <v>434</v>
      </c>
      <c r="I38" s="17">
        <v>32489.57</v>
      </c>
      <c r="J38" s="17" t="s">
        <v>70</v>
      </c>
      <c r="K38" s="17" t="s">
        <v>261</v>
      </c>
      <c r="L38" s="17" t="s">
        <v>151</v>
      </c>
      <c r="M38" s="17" t="s">
        <v>324</v>
      </c>
      <c r="N38" s="17" t="s">
        <v>325</v>
      </c>
      <c r="O38" s="17" t="s">
        <v>326</v>
      </c>
      <c r="P38" s="17" t="s">
        <v>84</v>
      </c>
    </row>
    <row r="39" spans="1:16" x14ac:dyDescent="0.3">
      <c r="A39" s="17" t="s">
        <v>327</v>
      </c>
      <c r="C39" s="17" t="s">
        <v>328</v>
      </c>
      <c r="D39" s="17" t="s">
        <v>329</v>
      </c>
      <c r="E39" s="17" t="s">
        <v>59</v>
      </c>
      <c r="F39" s="17" t="s">
        <v>282</v>
      </c>
      <c r="G39" s="17">
        <v>294</v>
      </c>
      <c r="I39" s="17" t="s">
        <v>330</v>
      </c>
      <c r="J39" s="17" t="s">
        <v>191</v>
      </c>
      <c r="K39" s="17" t="s">
        <v>92</v>
      </c>
      <c r="L39" s="17" t="s">
        <v>122</v>
      </c>
    </row>
    <row r="40" spans="1:16" x14ac:dyDescent="0.3">
      <c r="A40" s="17" t="s">
        <v>331</v>
      </c>
      <c r="B40" s="18">
        <v>45797</v>
      </c>
      <c r="C40" s="17" t="s">
        <v>332</v>
      </c>
      <c r="D40" s="17" t="s">
        <v>333</v>
      </c>
      <c r="E40" s="17" t="s">
        <v>257</v>
      </c>
      <c r="F40" s="17" t="s">
        <v>334</v>
      </c>
      <c r="G40" s="17">
        <v>225</v>
      </c>
      <c r="H40" s="17">
        <v>197</v>
      </c>
      <c r="I40" s="17">
        <v>23782.99</v>
      </c>
      <c r="J40" s="17" t="s">
        <v>61</v>
      </c>
      <c r="K40" s="17" t="s">
        <v>101</v>
      </c>
      <c r="L40" s="17" t="s">
        <v>93</v>
      </c>
      <c r="M40" s="18">
        <v>45802</v>
      </c>
      <c r="N40" s="17" t="s">
        <v>335</v>
      </c>
      <c r="P40" s="17" t="s">
        <v>269</v>
      </c>
    </row>
    <row r="41" spans="1:16" x14ac:dyDescent="0.3">
      <c r="A41" s="17" t="s">
        <v>336</v>
      </c>
      <c r="B41" s="17" t="s">
        <v>337</v>
      </c>
      <c r="C41" s="17" t="s">
        <v>299</v>
      </c>
      <c r="D41" s="17" t="s">
        <v>108</v>
      </c>
      <c r="E41" s="17" t="s">
        <v>338</v>
      </c>
      <c r="F41" s="17" t="s">
        <v>339</v>
      </c>
      <c r="G41" s="17">
        <v>298</v>
      </c>
      <c r="H41" s="17">
        <v>234</v>
      </c>
      <c r="I41" s="17" t="s">
        <v>340</v>
      </c>
      <c r="J41" s="17" t="s">
        <v>229</v>
      </c>
      <c r="K41" s="17" t="s">
        <v>288</v>
      </c>
      <c r="L41" s="17" t="s">
        <v>246</v>
      </c>
      <c r="N41" s="17" t="s">
        <v>341</v>
      </c>
      <c r="O41" s="17" t="s">
        <v>342</v>
      </c>
      <c r="P41" s="17" t="s">
        <v>236</v>
      </c>
    </row>
    <row r="42" spans="1:16" x14ac:dyDescent="0.3">
      <c r="A42" s="17" t="s">
        <v>343</v>
      </c>
      <c r="B42" s="17" t="s">
        <v>344</v>
      </c>
      <c r="C42" s="17" t="s">
        <v>133</v>
      </c>
      <c r="D42" s="17" t="s">
        <v>88</v>
      </c>
      <c r="E42" s="17" t="s">
        <v>345</v>
      </c>
      <c r="F42" s="17" t="s">
        <v>141</v>
      </c>
      <c r="G42" s="17">
        <v>95</v>
      </c>
      <c r="H42" s="17">
        <v>79</v>
      </c>
      <c r="I42" s="17" t="s">
        <v>346</v>
      </c>
      <c r="J42" s="17" t="s">
        <v>347</v>
      </c>
      <c r="K42" s="17" t="s">
        <v>101</v>
      </c>
      <c r="L42" s="17" t="s">
        <v>63</v>
      </c>
      <c r="N42" s="17" t="s">
        <v>348</v>
      </c>
      <c r="P42" s="17" t="s">
        <v>349</v>
      </c>
    </row>
    <row r="43" spans="1:16" x14ac:dyDescent="0.3">
      <c r="A43" s="17" t="s">
        <v>350</v>
      </c>
      <c r="C43" s="17" t="s">
        <v>299</v>
      </c>
      <c r="D43" s="17" t="s">
        <v>351</v>
      </c>
      <c r="E43" s="17" t="s">
        <v>319</v>
      </c>
      <c r="F43" s="17" t="s">
        <v>98</v>
      </c>
      <c r="G43" s="17">
        <v>314</v>
      </c>
      <c r="H43" s="17">
        <v>225</v>
      </c>
      <c r="I43" s="17">
        <v>4792.0600000000004</v>
      </c>
      <c r="J43" s="17" t="s">
        <v>191</v>
      </c>
      <c r="K43" s="17" t="s">
        <v>71</v>
      </c>
      <c r="L43" s="17" t="s">
        <v>186</v>
      </c>
      <c r="N43" s="17" t="s">
        <v>352</v>
      </c>
      <c r="O43" s="18">
        <v>45918</v>
      </c>
      <c r="P43" s="17" t="s">
        <v>153</v>
      </c>
    </row>
    <row r="44" spans="1:16" x14ac:dyDescent="0.3">
      <c r="A44" s="17" t="s">
        <v>353</v>
      </c>
      <c r="B44" s="17" t="s">
        <v>354</v>
      </c>
      <c r="C44" s="17" t="s">
        <v>87</v>
      </c>
      <c r="D44" s="17" t="s">
        <v>181</v>
      </c>
      <c r="E44" s="17" t="s">
        <v>140</v>
      </c>
      <c r="F44" s="17" t="s">
        <v>141</v>
      </c>
      <c r="G44" s="17">
        <v>309</v>
      </c>
      <c r="H44" s="17">
        <v>268</v>
      </c>
      <c r="I44" s="17">
        <v>29010.67</v>
      </c>
      <c r="J44" s="17" t="s">
        <v>355</v>
      </c>
      <c r="K44" s="17" t="s">
        <v>71</v>
      </c>
      <c r="L44" s="17" t="s">
        <v>239</v>
      </c>
      <c r="M44" s="17" t="s">
        <v>73</v>
      </c>
      <c r="N44" s="17" t="s">
        <v>324</v>
      </c>
      <c r="O44" s="17" t="s">
        <v>356</v>
      </c>
      <c r="P44" s="17" t="s">
        <v>104</v>
      </c>
    </row>
    <row r="45" spans="1:16" x14ac:dyDescent="0.3">
      <c r="A45" s="17" t="s">
        <v>357</v>
      </c>
      <c r="B45" s="18">
        <v>45750</v>
      </c>
      <c r="C45" s="17" t="s">
        <v>358</v>
      </c>
      <c r="D45" s="17" t="s">
        <v>97</v>
      </c>
      <c r="E45" s="17" t="s">
        <v>140</v>
      </c>
      <c r="F45" s="17" t="s">
        <v>359</v>
      </c>
      <c r="G45" s="17">
        <v>27</v>
      </c>
      <c r="H45" s="17">
        <v>20</v>
      </c>
      <c r="I45" s="17">
        <v>20072.310000000001</v>
      </c>
      <c r="J45" s="17" t="s">
        <v>260</v>
      </c>
      <c r="K45" s="17" t="s">
        <v>212</v>
      </c>
      <c r="L45" s="17" t="s">
        <v>193</v>
      </c>
      <c r="M45" s="18">
        <v>45755</v>
      </c>
      <c r="N45" s="18">
        <v>45784</v>
      </c>
      <c r="O45" s="17" t="s">
        <v>360</v>
      </c>
      <c r="P45" s="17" t="s">
        <v>252</v>
      </c>
    </row>
    <row r="46" spans="1:16" x14ac:dyDescent="0.3">
      <c r="A46" s="17" t="s">
        <v>361</v>
      </c>
      <c r="B46" s="17" t="s">
        <v>362</v>
      </c>
      <c r="C46" s="17" t="s">
        <v>180</v>
      </c>
      <c r="D46" s="17" t="s">
        <v>256</v>
      </c>
      <c r="E46" s="17" t="s">
        <v>363</v>
      </c>
      <c r="F46" s="17" t="s">
        <v>364</v>
      </c>
      <c r="G46" s="17">
        <v>235</v>
      </c>
      <c r="H46" s="17">
        <v>195</v>
      </c>
      <c r="I46" s="17" t="s">
        <v>365</v>
      </c>
      <c r="J46" s="17" t="s">
        <v>303</v>
      </c>
      <c r="K46" s="17" t="s">
        <v>101</v>
      </c>
      <c r="L46" s="17" t="s">
        <v>186</v>
      </c>
      <c r="M46" s="17" t="s">
        <v>366</v>
      </c>
      <c r="N46" s="17" t="s">
        <v>367</v>
      </c>
      <c r="P46" s="17" t="s">
        <v>84</v>
      </c>
    </row>
    <row r="47" spans="1:16" x14ac:dyDescent="0.3">
      <c r="A47" s="17" t="s">
        <v>368</v>
      </c>
      <c r="C47" s="17" t="s">
        <v>232</v>
      </c>
      <c r="D47" s="17" t="s">
        <v>88</v>
      </c>
      <c r="E47" s="17" t="s">
        <v>369</v>
      </c>
      <c r="F47" s="17" t="s">
        <v>370</v>
      </c>
      <c r="G47" s="17">
        <v>61</v>
      </c>
      <c r="H47" s="17">
        <v>44</v>
      </c>
      <c r="I47" s="17" t="s">
        <v>371</v>
      </c>
      <c r="J47" s="17" t="s">
        <v>191</v>
      </c>
      <c r="K47" s="17" t="s">
        <v>251</v>
      </c>
      <c r="L47" s="17" t="s">
        <v>284</v>
      </c>
      <c r="M47" s="17" t="s">
        <v>372</v>
      </c>
      <c r="P47" s="17" t="s">
        <v>373</v>
      </c>
    </row>
    <row r="48" spans="1:16" x14ac:dyDescent="0.3">
      <c r="A48" s="17" t="s">
        <v>374</v>
      </c>
      <c r="B48" s="17" t="s">
        <v>375</v>
      </c>
      <c r="C48" s="17" t="s">
        <v>117</v>
      </c>
      <c r="D48" s="17" t="s">
        <v>266</v>
      </c>
      <c r="E48" s="17" t="s">
        <v>257</v>
      </c>
      <c r="F48" s="17" t="s">
        <v>258</v>
      </c>
      <c r="G48" s="17">
        <v>-387</v>
      </c>
      <c r="I48" s="17" t="s">
        <v>376</v>
      </c>
      <c r="J48" s="17" t="s">
        <v>174</v>
      </c>
      <c r="K48" s="17" t="s">
        <v>92</v>
      </c>
      <c r="L48" s="17" t="s">
        <v>186</v>
      </c>
      <c r="P48" s="17" t="s">
        <v>373</v>
      </c>
    </row>
    <row r="49" spans="1:16" x14ac:dyDescent="0.3">
      <c r="A49" s="17" t="s">
        <v>377</v>
      </c>
      <c r="C49" s="17" t="s">
        <v>378</v>
      </c>
      <c r="D49" s="17" t="s">
        <v>226</v>
      </c>
      <c r="E49" s="17" t="s">
        <v>379</v>
      </c>
      <c r="F49" s="17" t="s">
        <v>182</v>
      </c>
      <c r="G49" s="17">
        <v>0</v>
      </c>
      <c r="H49" s="17">
        <v>105</v>
      </c>
      <c r="I49" s="17">
        <v>38816.910000000003</v>
      </c>
      <c r="J49" s="17" t="s">
        <v>91</v>
      </c>
      <c r="K49" s="17" t="s">
        <v>261</v>
      </c>
      <c r="L49" s="17" t="s">
        <v>276</v>
      </c>
      <c r="N49" s="17" t="s">
        <v>380</v>
      </c>
      <c r="O49" s="17" t="s">
        <v>381</v>
      </c>
      <c r="P49" s="17" t="s">
        <v>94</v>
      </c>
    </row>
    <row r="50" spans="1:16" x14ac:dyDescent="0.3">
      <c r="A50" s="17" t="s">
        <v>382</v>
      </c>
      <c r="B50" s="17" t="s">
        <v>383</v>
      </c>
      <c r="C50" s="17" t="s">
        <v>57</v>
      </c>
      <c r="D50" s="17" t="s">
        <v>333</v>
      </c>
      <c r="E50" s="17" t="s">
        <v>128</v>
      </c>
      <c r="F50" s="17" t="s">
        <v>282</v>
      </c>
      <c r="G50" s="17">
        <v>358</v>
      </c>
      <c r="H50" s="17">
        <v>328</v>
      </c>
      <c r="I50" s="17">
        <v>41035.58</v>
      </c>
      <c r="J50" s="17" t="s">
        <v>355</v>
      </c>
      <c r="K50" s="17" t="s">
        <v>175</v>
      </c>
      <c r="L50" s="17" t="s">
        <v>122</v>
      </c>
      <c r="M50" s="17" t="s">
        <v>384</v>
      </c>
      <c r="N50" s="18">
        <v>45914</v>
      </c>
      <c r="P50" s="17" t="s">
        <v>385</v>
      </c>
    </row>
    <row r="51" spans="1:16" x14ac:dyDescent="0.3">
      <c r="A51" s="17" t="s">
        <v>386</v>
      </c>
      <c r="B51" s="17" t="s">
        <v>387</v>
      </c>
      <c r="C51" s="17" t="s">
        <v>358</v>
      </c>
      <c r="D51" s="17" t="s">
        <v>97</v>
      </c>
      <c r="E51" s="17" t="s">
        <v>190</v>
      </c>
      <c r="F51" s="17" t="s">
        <v>228</v>
      </c>
      <c r="G51" s="17">
        <v>208</v>
      </c>
      <c r="H51" s="17">
        <v>205</v>
      </c>
      <c r="I51" s="17">
        <v>1312.21</v>
      </c>
      <c r="J51" s="17" t="s">
        <v>303</v>
      </c>
      <c r="K51" s="17" t="s">
        <v>71</v>
      </c>
      <c r="L51" s="17" t="s">
        <v>151</v>
      </c>
      <c r="M51" s="18">
        <v>45888</v>
      </c>
      <c r="O51" s="17" t="s">
        <v>388</v>
      </c>
      <c r="P51" s="17" t="s">
        <v>144</v>
      </c>
    </row>
    <row r="52" spans="1:16" x14ac:dyDescent="0.3">
      <c r="A52" s="17" t="s">
        <v>389</v>
      </c>
      <c r="B52" s="18">
        <v>45806</v>
      </c>
      <c r="C52" s="17" t="s">
        <v>390</v>
      </c>
      <c r="D52" s="17" t="s">
        <v>118</v>
      </c>
      <c r="E52" s="17" t="s">
        <v>391</v>
      </c>
      <c r="F52" s="17" t="s">
        <v>196</v>
      </c>
      <c r="G52" s="17">
        <v>411</v>
      </c>
      <c r="H52" s="17">
        <v>409</v>
      </c>
      <c r="J52" s="17" t="s">
        <v>191</v>
      </c>
      <c r="K52" s="17" t="s">
        <v>71</v>
      </c>
      <c r="L52" s="17" t="s">
        <v>392</v>
      </c>
      <c r="N52" s="18">
        <v>45840</v>
      </c>
      <c r="P52" s="17" t="s">
        <v>393</v>
      </c>
    </row>
    <row r="53" spans="1:16" x14ac:dyDescent="0.3">
      <c r="A53" s="17" t="s">
        <v>394</v>
      </c>
      <c r="B53" s="17" t="s">
        <v>395</v>
      </c>
      <c r="C53" s="17" t="s">
        <v>87</v>
      </c>
      <c r="D53" s="17" t="s">
        <v>226</v>
      </c>
      <c r="E53" s="17" t="s">
        <v>345</v>
      </c>
      <c r="F53" s="17" t="s">
        <v>359</v>
      </c>
      <c r="G53" s="17">
        <v>270</v>
      </c>
      <c r="H53" s="17">
        <v>215</v>
      </c>
      <c r="I53" s="17" t="s">
        <v>396</v>
      </c>
      <c r="J53" s="17" t="s">
        <v>61</v>
      </c>
      <c r="K53" s="17" t="s">
        <v>129</v>
      </c>
      <c r="L53" s="17" t="s">
        <v>63</v>
      </c>
      <c r="M53" s="17" t="s">
        <v>397</v>
      </c>
      <c r="N53" s="17" t="s">
        <v>398</v>
      </c>
      <c r="P53" s="17" t="s">
        <v>162</v>
      </c>
    </row>
    <row r="54" spans="1:16" x14ac:dyDescent="0.3">
      <c r="A54" s="17" t="s">
        <v>399</v>
      </c>
      <c r="B54" s="18">
        <v>45950</v>
      </c>
      <c r="C54" s="17" t="s">
        <v>117</v>
      </c>
      <c r="D54" s="17" t="s">
        <v>294</v>
      </c>
      <c r="E54" s="17" t="s">
        <v>400</v>
      </c>
      <c r="F54" s="17" t="s">
        <v>60</v>
      </c>
      <c r="G54" s="17">
        <v>460</v>
      </c>
      <c r="I54" s="17" t="s">
        <v>401</v>
      </c>
      <c r="J54" s="17" t="s">
        <v>100</v>
      </c>
      <c r="K54" s="17" t="s">
        <v>300</v>
      </c>
      <c r="L54" s="17" t="s">
        <v>276</v>
      </c>
      <c r="P54" s="17" t="s">
        <v>207</v>
      </c>
    </row>
    <row r="55" spans="1:16" x14ac:dyDescent="0.3">
      <c r="A55" s="17" t="s">
        <v>402</v>
      </c>
      <c r="B55" s="17" t="s">
        <v>403</v>
      </c>
      <c r="C55" s="17" t="s">
        <v>107</v>
      </c>
      <c r="D55" s="17" t="s">
        <v>266</v>
      </c>
      <c r="E55" s="17" t="s">
        <v>119</v>
      </c>
      <c r="F55" s="17" t="s">
        <v>167</v>
      </c>
      <c r="G55" s="17">
        <v>131</v>
      </c>
      <c r="H55" s="17">
        <v>181</v>
      </c>
      <c r="I55" s="17" t="s">
        <v>404</v>
      </c>
      <c r="J55" s="17" t="s">
        <v>174</v>
      </c>
      <c r="K55" s="17" t="s">
        <v>199</v>
      </c>
      <c r="L55" s="17" t="s">
        <v>284</v>
      </c>
      <c r="M55" s="17" t="s">
        <v>405</v>
      </c>
      <c r="P55" s="17" t="s">
        <v>406</v>
      </c>
    </row>
    <row r="56" spans="1:16" x14ac:dyDescent="0.3">
      <c r="A56" s="17" t="s">
        <v>407</v>
      </c>
      <c r="B56" s="18">
        <v>45878</v>
      </c>
      <c r="C56" s="17" t="s">
        <v>180</v>
      </c>
      <c r="D56" s="17" t="s">
        <v>272</v>
      </c>
      <c r="E56" s="17" t="s">
        <v>149</v>
      </c>
      <c r="F56" s="17" t="s">
        <v>370</v>
      </c>
      <c r="G56" s="17">
        <v>396</v>
      </c>
      <c r="I56" s="17">
        <v>2179.12</v>
      </c>
      <c r="J56" s="17" t="s">
        <v>198</v>
      </c>
      <c r="K56" s="17" t="s">
        <v>408</v>
      </c>
      <c r="L56" s="17" t="s">
        <v>409</v>
      </c>
      <c r="P56" s="17" t="s">
        <v>410</v>
      </c>
    </row>
    <row r="57" spans="1:16" x14ac:dyDescent="0.3">
      <c r="A57" s="17" t="s">
        <v>411</v>
      </c>
      <c r="B57" s="17" t="s">
        <v>412</v>
      </c>
      <c r="C57" s="17" t="s">
        <v>76</v>
      </c>
      <c r="D57" s="17" t="s">
        <v>351</v>
      </c>
      <c r="E57" s="17" t="s">
        <v>413</v>
      </c>
      <c r="F57" s="17" t="s">
        <v>370</v>
      </c>
      <c r="G57" s="17">
        <v>81</v>
      </c>
      <c r="H57" s="17">
        <v>64</v>
      </c>
      <c r="J57" s="17" t="s">
        <v>355</v>
      </c>
      <c r="K57" s="17" t="s">
        <v>261</v>
      </c>
      <c r="L57" s="17" t="s">
        <v>276</v>
      </c>
      <c r="M57" s="17" t="s">
        <v>414</v>
      </c>
      <c r="N57" s="17" t="s">
        <v>415</v>
      </c>
      <c r="O57" s="18">
        <v>45762</v>
      </c>
      <c r="P57" s="17" t="s">
        <v>162</v>
      </c>
    </row>
    <row r="58" spans="1:16" x14ac:dyDescent="0.3">
      <c r="A58" s="17" t="s">
        <v>416</v>
      </c>
      <c r="B58" s="18">
        <v>45926</v>
      </c>
      <c r="C58" s="17" t="s">
        <v>165</v>
      </c>
      <c r="D58" s="17" t="s">
        <v>209</v>
      </c>
      <c r="E58" s="17" t="s">
        <v>417</v>
      </c>
      <c r="F58" s="17" t="s">
        <v>418</v>
      </c>
      <c r="G58" s="17">
        <v>425</v>
      </c>
      <c r="H58" s="17">
        <v>588</v>
      </c>
      <c r="I58" s="17">
        <v>5078.8100000000004</v>
      </c>
      <c r="J58" s="17" t="s">
        <v>184</v>
      </c>
      <c r="K58" s="17" t="s">
        <v>129</v>
      </c>
      <c r="L58" s="17" t="s">
        <v>239</v>
      </c>
      <c r="M58" s="18">
        <v>45927</v>
      </c>
      <c r="N58" s="17" t="s">
        <v>419</v>
      </c>
      <c r="P58" s="17" t="s">
        <v>420</v>
      </c>
    </row>
    <row r="59" spans="1:16" x14ac:dyDescent="0.3">
      <c r="A59" s="17" t="s">
        <v>421</v>
      </c>
      <c r="B59" s="18">
        <v>45905</v>
      </c>
      <c r="C59" s="17" t="s">
        <v>318</v>
      </c>
      <c r="D59" s="17" t="s">
        <v>118</v>
      </c>
      <c r="E59" s="17" t="s">
        <v>400</v>
      </c>
      <c r="F59" s="17" t="s">
        <v>172</v>
      </c>
      <c r="G59" s="17">
        <v>290</v>
      </c>
      <c r="H59" s="17">
        <v>288</v>
      </c>
      <c r="I59" s="17">
        <v>34737.17</v>
      </c>
      <c r="J59" s="17" t="s">
        <v>191</v>
      </c>
      <c r="K59" s="17" t="s">
        <v>251</v>
      </c>
      <c r="L59" s="17" t="s">
        <v>113</v>
      </c>
      <c r="M59" s="18">
        <v>45909</v>
      </c>
      <c r="N59" s="17" t="s">
        <v>422</v>
      </c>
      <c r="P59" s="17" t="s">
        <v>207</v>
      </c>
    </row>
    <row r="60" spans="1:16" x14ac:dyDescent="0.3">
      <c r="A60" s="17" t="s">
        <v>423</v>
      </c>
      <c r="C60" s="17" t="s">
        <v>378</v>
      </c>
      <c r="D60" s="17" t="s">
        <v>424</v>
      </c>
      <c r="E60" s="17" t="s">
        <v>210</v>
      </c>
      <c r="F60" s="17" t="s">
        <v>307</v>
      </c>
      <c r="G60" s="17">
        <v>60</v>
      </c>
      <c r="H60" s="17">
        <v>46</v>
      </c>
      <c r="I60" s="17">
        <v>30192.05</v>
      </c>
      <c r="J60" s="17" t="s">
        <v>229</v>
      </c>
      <c r="K60" s="17" t="s">
        <v>112</v>
      </c>
      <c r="L60" s="17" t="s">
        <v>122</v>
      </c>
      <c r="M60" s="17" t="s">
        <v>425</v>
      </c>
      <c r="N60" s="18">
        <v>45954</v>
      </c>
      <c r="P60" s="17" t="s">
        <v>230</v>
      </c>
    </row>
    <row r="61" spans="1:16" x14ac:dyDescent="0.3">
      <c r="A61" s="17" t="s">
        <v>426</v>
      </c>
      <c r="B61" s="17" t="s">
        <v>372</v>
      </c>
      <c r="C61" s="17" t="s">
        <v>65</v>
      </c>
      <c r="D61" s="17" t="s">
        <v>66</v>
      </c>
      <c r="E61" s="17" t="s">
        <v>379</v>
      </c>
      <c r="F61" s="17" t="s">
        <v>427</v>
      </c>
      <c r="G61" s="17">
        <v>456</v>
      </c>
      <c r="H61" s="17">
        <v>324</v>
      </c>
      <c r="I61" s="17">
        <v>37653.71</v>
      </c>
      <c r="J61" s="17" t="s">
        <v>347</v>
      </c>
      <c r="K61" s="17" t="s">
        <v>212</v>
      </c>
      <c r="L61" s="17" t="s">
        <v>284</v>
      </c>
      <c r="N61" s="18">
        <v>45695</v>
      </c>
      <c r="O61" s="17" t="s">
        <v>428</v>
      </c>
      <c r="P61" s="17" t="s">
        <v>429</v>
      </c>
    </row>
    <row r="62" spans="1:16" x14ac:dyDescent="0.3">
      <c r="A62" s="17" t="s">
        <v>430</v>
      </c>
      <c r="B62" s="18">
        <v>45970</v>
      </c>
      <c r="C62" s="17" t="s">
        <v>281</v>
      </c>
      <c r="D62" s="17" t="s">
        <v>118</v>
      </c>
      <c r="E62" s="17" t="s">
        <v>157</v>
      </c>
      <c r="F62" s="17" t="s">
        <v>307</v>
      </c>
      <c r="G62" s="17">
        <v>268</v>
      </c>
      <c r="H62" s="17">
        <v>195</v>
      </c>
      <c r="J62" s="17" t="s">
        <v>184</v>
      </c>
      <c r="K62" s="17" t="s">
        <v>71</v>
      </c>
      <c r="L62" s="17" t="s">
        <v>284</v>
      </c>
      <c r="M62" s="17" t="s">
        <v>431</v>
      </c>
      <c r="N62" s="17" t="s">
        <v>271</v>
      </c>
      <c r="O62" s="17" t="s">
        <v>432</v>
      </c>
      <c r="P62" s="17" t="s">
        <v>433</v>
      </c>
    </row>
    <row r="63" spans="1:16" x14ac:dyDescent="0.3">
      <c r="A63" s="17" t="s">
        <v>434</v>
      </c>
      <c r="B63" s="17" t="s">
        <v>435</v>
      </c>
      <c r="C63" s="17" t="s">
        <v>286</v>
      </c>
      <c r="D63" s="17" t="s">
        <v>329</v>
      </c>
      <c r="E63" s="17" t="s">
        <v>379</v>
      </c>
      <c r="F63" s="17" t="s">
        <v>307</v>
      </c>
      <c r="G63" s="17">
        <v>217</v>
      </c>
      <c r="H63" s="17">
        <v>201</v>
      </c>
      <c r="I63" s="17">
        <v>36119.480000000003</v>
      </c>
      <c r="J63" s="17" t="s">
        <v>184</v>
      </c>
      <c r="K63" s="17" t="s">
        <v>199</v>
      </c>
      <c r="L63" s="17" t="s">
        <v>186</v>
      </c>
      <c r="M63" s="17" t="s">
        <v>436</v>
      </c>
      <c r="N63" s="18">
        <v>45759</v>
      </c>
      <c r="P63" s="17" t="s">
        <v>230</v>
      </c>
    </row>
    <row r="64" spans="1:16" x14ac:dyDescent="0.3">
      <c r="A64" s="17" t="s">
        <v>437</v>
      </c>
      <c r="B64" s="17" t="s">
        <v>438</v>
      </c>
      <c r="C64" s="17" t="s">
        <v>439</v>
      </c>
      <c r="D64" s="17" t="s">
        <v>181</v>
      </c>
      <c r="E64" s="17" t="s">
        <v>391</v>
      </c>
      <c r="F64" s="17" t="s">
        <v>110</v>
      </c>
      <c r="G64" s="17">
        <v>0</v>
      </c>
      <c r="H64" s="17">
        <v>276</v>
      </c>
      <c r="I64" s="17">
        <v>32589.11</v>
      </c>
      <c r="J64" s="17" t="s">
        <v>184</v>
      </c>
      <c r="L64" s="17" t="s">
        <v>193</v>
      </c>
      <c r="M64" s="17" t="s">
        <v>262</v>
      </c>
      <c r="N64" s="17" t="s">
        <v>440</v>
      </c>
      <c r="P64" s="17" t="s">
        <v>433</v>
      </c>
    </row>
    <row r="65" spans="1:16" x14ac:dyDescent="0.3">
      <c r="A65" s="17" t="s">
        <v>441</v>
      </c>
      <c r="B65" s="17" t="s">
        <v>442</v>
      </c>
      <c r="C65" s="17" t="s">
        <v>299</v>
      </c>
      <c r="D65" s="17" t="s">
        <v>351</v>
      </c>
      <c r="E65" s="17" t="s">
        <v>443</v>
      </c>
      <c r="F65" s="17" t="s">
        <v>444</v>
      </c>
      <c r="G65" s="17">
        <v>65</v>
      </c>
      <c r="I65" s="17" t="s">
        <v>445</v>
      </c>
      <c r="J65" s="17" t="s">
        <v>347</v>
      </c>
      <c r="K65" s="17" t="s">
        <v>92</v>
      </c>
      <c r="L65" s="17" t="s">
        <v>151</v>
      </c>
    </row>
    <row r="66" spans="1:16" x14ac:dyDescent="0.3">
      <c r="A66" s="17" t="s">
        <v>446</v>
      </c>
      <c r="B66" s="17" t="s">
        <v>447</v>
      </c>
      <c r="C66" s="17" t="s">
        <v>117</v>
      </c>
      <c r="D66" s="17" t="s">
        <v>118</v>
      </c>
      <c r="E66" s="17" t="s">
        <v>119</v>
      </c>
      <c r="F66" s="17" t="s">
        <v>120</v>
      </c>
      <c r="G66" s="17">
        <v>0</v>
      </c>
      <c r="I66" s="17">
        <v>19837.48</v>
      </c>
      <c r="J66" s="17" t="s">
        <v>80</v>
      </c>
      <c r="K66" s="17" t="s">
        <v>408</v>
      </c>
      <c r="L66" s="17" t="s">
        <v>82</v>
      </c>
    </row>
    <row r="67" spans="1:16" x14ac:dyDescent="0.3">
      <c r="A67" s="17" t="s">
        <v>448</v>
      </c>
      <c r="B67" s="18">
        <v>45942</v>
      </c>
      <c r="C67" s="17" t="s">
        <v>238</v>
      </c>
      <c r="D67" s="17" t="s">
        <v>424</v>
      </c>
      <c r="E67" s="17" t="s">
        <v>140</v>
      </c>
      <c r="F67" s="17" t="s">
        <v>274</v>
      </c>
      <c r="G67" s="17">
        <v>407</v>
      </c>
      <c r="H67" s="17">
        <v>334</v>
      </c>
      <c r="I67" s="17" t="s">
        <v>449</v>
      </c>
      <c r="J67" s="17" t="s">
        <v>174</v>
      </c>
      <c r="K67" s="17" t="s">
        <v>450</v>
      </c>
      <c r="L67" s="17" t="s">
        <v>284</v>
      </c>
      <c r="M67" s="18">
        <v>45945</v>
      </c>
      <c r="N67" s="18">
        <v>45974</v>
      </c>
      <c r="P67" s="17" t="s">
        <v>236</v>
      </c>
    </row>
    <row r="68" spans="1:16" x14ac:dyDescent="0.3">
      <c r="A68" s="17" t="s">
        <v>451</v>
      </c>
      <c r="B68" s="17" t="s">
        <v>452</v>
      </c>
      <c r="C68" s="17" t="s">
        <v>117</v>
      </c>
      <c r="D68" s="17" t="s">
        <v>148</v>
      </c>
      <c r="E68" s="17" t="s">
        <v>233</v>
      </c>
      <c r="F68" s="17" t="s">
        <v>370</v>
      </c>
      <c r="G68" s="17">
        <v>111</v>
      </c>
      <c r="H68" s="17">
        <v>109</v>
      </c>
      <c r="I68" s="17" t="s">
        <v>453</v>
      </c>
      <c r="J68" s="17" t="s">
        <v>191</v>
      </c>
      <c r="K68" s="17" t="s">
        <v>261</v>
      </c>
      <c r="L68" s="17" t="s">
        <v>246</v>
      </c>
      <c r="M68" s="17" t="s">
        <v>454</v>
      </c>
      <c r="N68" s="17" t="s">
        <v>455</v>
      </c>
      <c r="O68" s="17" t="s">
        <v>456</v>
      </c>
      <c r="P68" s="17" t="s">
        <v>252</v>
      </c>
    </row>
    <row r="69" spans="1:16" x14ac:dyDescent="0.3">
      <c r="A69" s="17" t="s">
        <v>457</v>
      </c>
      <c r="B69" s="18">
        <v>45666</v>
      </c>
      <c r="C69" s="17" t="s">
        <v>107</v>
      </c>
      <c r="D69" s="17" t="s">
        <v>118</v>
      </c>
      <c r="E69" s="17" t="s">
        <v>210</v>
      </c>
      <c r="F69" s="17" t="s">
        <v>307</v>
      </c>
      <c r="G69" s="17">
        <v>83</v>
      </c>
      <c r="H69" s="17">
        <v>72</v>
      </c>
      <c r="I69" s="17">
        <v>11170.99</v>
      </c>
      <c r="J69" s="17" t="s">
        <v>184</v>
      </c>
      <c r="K69" s="17" t="s">
        <v>112</v>
      </c>
      <c r="L69" s="17" t="s">
        <v>151</v>
      </c>
      <c r="P69" s="17" t="s">
        <v>84</v>
      </c>
    </row>
    <row r="70" spans="1:16" x14ac:dyDescent="0.3">
      <c r="A70" s="17" t="s">
        <v>458</v>
      </c>
      <c r="C70" s="17" t="s">
        <v>306</v>
      </c>
      <c r="D70" s="17" t="s">
        <v>266</v>
      </c>
      <c r="E70" s="17" t="s">
        <v>459</v>
      </c>
      <c r="F70" s="17" t="s">
        <v>460</v>
      </c>
      <c r="G70" s="17">
        <v>116</v>
      </c>
      <c r="H70" s="17">
        <v>102</v>
      </c>
      <c r="I70" s="17" t="s">
        <v>461</v>
      </c>
      <c r="J70" s="17" t="s">
        <v>191</v>
      </c>
      <c r="K70" s="17" t="s">
        <v>101</v>
      </c>
      <c r="L70" s="17" t="s">
        <v>63</v>
      </c>
      <c r="M70" s="17" t="s">
        <v>462</v>
      </c>
      <c r="N70" s="18">
        <v>46010</v>
      </c>
      <c r="P70" s="17" t="s">
        <v>207</v>
      </c>
    </row>
    <row r="71" spans="1:16" x14ac:dyDescent="0.3">
      <c r="A71" s="17" t="s">
        <v>463</v>
      </c>
      <c r="B71" s="18">
        <v>45849</v>
      </c>
      <c r="C71" s="17" t="s">
        <v>464</v>
      </c>
      <c r="D71" s="17" t="s">
        <v>118</v>
      </c>
      <c r="E71" s="17" t="s">
        <v>89</v>
      </c>
      <c r="F71" s="17" t="s">
        <v>339</v>
      </c>
      <c r="G71" s="17">
        <v>361</v>
      </c>
      <c r="H71" s="17">
        <v>344</v>
      </c>
      <c r="I71" s="17">
        <v>29470.05</v>
      </c>
      <c r="J71" s="17" t="s">
        <v>184</v>
      </c>
      <c r="K71" s="17" t="s">
        <v>261</v>
      </c>
      <c r="L71" s="17" t="s">
        <v>122</v>
      </c>
      <c r="M71" s="17" t="s">
        <v>381</v>
      </c>
      <c r="N71" s="17" t="s">
        <v>465</v>
      </c>
      <c r="O71" s="17" t="s">
        <v>466</v>
      </c>
      <c r="P71" s="17" t="s">
        <v>170</v>
      </c>
    </row>
    <row r="72" spans="1:16" x14ac:dyDescent="0.3">
      <c r="A72" s="17" t="s">
        <v>467</v>
      </c>
      <c r="B72" s="18">
        <v>45819</v>
      </c>
      <c r="C72" s="17" t="s">
        <v>286</v>
      </c>
      <c r="D72" s="17" t="s">
        <v>226</v>
      </c>
      <c r="E72" s="17" t="s">
        <v>413</v>
      </c>
      <c r="F72" s="17" t="s">
        <v>468</v>
      </c>
      <c r="G72" s="17">
        <v>390</v>
      </c>
      <c r="I72" s="17" t="s">
        <v>469</v>
      </c>
      <c r="J72" s="17" t="s">
        <v>191</v>
      </c>
      <c r="K72" s="17" t="s">
        <v>192</v>
      </c>
      <c r="L72" s="17" t="s">
        <v>122</v>
      </c>
    </row>
    <row r="73" spans="1:16" x14ac:dyDescent="0.3">
      <c r="A73" s="17" t="s">
        <v>470</v>
      </c>
      <c r="B73" s="17" t="s">
        <v>471</v>
      </c>
      <c r="C73" s="17" t="s">
        <v>107</v>
      </c>
      <c r="D73" s="17" t="s">
        <v>108</v>
      </c>
      <c r="E73" s="17" t="s">
        <v>472</v>
      </c>
      <c r="F73" s="17" t="s">
        <v>287</v>
      </c>
      <c r="G73" s="17">
        <v>121</v>
      </c>
      <c r="H73" s="17">
        <v>100</v>
      </c>
      <c r="I73" s="17" t="s">
        <v>473</v>
      </c>
      <c r="J73" s="17" t="s">
        <v>70</v>
      </c>
      <c r="K73" s="17" t="s">
        <v>450</v>
      </c>
      <c r="L73" s="17" t="s">
        <v>276</v>
      </c>
      <c r="P73" s="17" t="s">
        <v>385</v>
      </c>
    </row>
    <row r="74" spans="1:16" x14ac:dyDescent="0.3">
      <c r="A74" s="17" t="s">
        <v>474</v>
      </c>
      <c r="B74" s="17" t="s">
        <v>475</v>
      </c>
      <c r="C74" s="17" t="s">
        <v>476</v>
      </c>
      <c r="D74" s="17" t="s">
        <v>66</v>
      </c>
      <c r="E74" s="17" t="s">
        <v>477</v>
      </c>
      <c r="F74" s="17" t="s">
        <v>167</v>
      </c>
      <c r="G74" s="17">
        <v>11</v>
      </c>
      <c r="J74" s="17" t="s">
        <v>229</v>
      </c>
      <c r="K74" s="17" t="s">
        <v>192</v>
      </c>
      <c r="L74" s="17" t="s">
        <v>276</v>
      </c>
      <c r="P74" s="17" t="s">
        <v>478</v>
      </c>
    </row>
    <row r="75" spans="1:16" x14ac:dyDescent="0.3">
      <c r="A75" s="17" t="s">
        <v>479</v>
      </c>
      <c r="B75" s="17" t="s">
        <v>480</v>
      </c>
      <c r="C75" s="17" t="s">
        <v>155</v>
      </c>
      <c r="D75" s="17" t="s">
        <v>156</v>
      </c>
      <c r="E75" s="17" t="s">
        <v>345</v>
      </c>
      <c r="F75" s="17" t="s">
        <v>141</v>
      </c>
      <c r="G75" s="17">
        <v>416</v>
      </c>
      <c r="H75" s="17">
        <v>344</v>
      </c>
      <c r="I75" s="17">
        <v>37085.56</v>
      </c>
      <c r="J75" s="17" t="s">
        <v>143</v>
      </c>
      <c r="K75" s="17" t="s">
        <v>71</v>
      </c>
      <c r="L75" s="17" t="s">
        <v>276</v>
      </c>
      <c r="M75" s="18">
        <v>45671</v>
      </c>
      <c r="N75" s="17" t="s">
        <v>481</v>
      </c>
      <c r="O75" s="18">
        <v>45684</v>
      </c>
      <c r="P75" s="17" t="s">
        <v>137</v>
      </c>
    </row>
    <row r="76" spans="1:16" x14ac:dyDescent="0.3">
      <c r="A76" s="17" t="s">
        <v>482</v>
      </c>
      <c r="B76" s="18">
        <v>45807</v>
      </c>
      <c r="C76" s="17" t="s">
        <v>483</v>
      </c>
      <c r="D76" s="17" t="s">
        <v>209</v>
      </c>
      <c r="E76" s="17" t="s">
        <v>157</v>
      </c>
      <c r="F76" s="17" t="s">
        <v>158</v>
      </c>
      <c r="G76" s="17">
        <v>349</v>
      </c>
      <c r="H76" s="17">
        <v>269</v>
      </c>
      <c r="I76" s="17" t="s">
        <v>484</v>
      </c>
      <c r="K76" s="17" t="s">
        <v>261</v>
      </c>
      <c r="L76" s="17" t="s">
        <v>485</v>
      </c>
      <c r="M76" s="17" t="s">
        <v>486</v>
      </c>
      <c r="O76" s="18">
        <v>45851</v>
      </c>
      <c r="P76" s="17" t="s">
        <v>74</v>
      </c>
    </row>
    <row r="77" spans="1:16" x14ac:dyDescent="0.3">
      <c r="A77" s="17" t="s">
        <v>487</v>
      </c>
      <c r="B77" s="17" t="s">
        <v>488</v>
      </c>
      <c r="C77" s="17" t="s">
        <v>489</v>
      </c>
      <c r="D77" s="17" t="s">
        <v>118</v>
      </c>
      <c r="E77" s="17" t="s">
        <v>459</v>
      </c>
      <c r="F77" s="17" t="s">
        <v>287</v>
      </c>
      <c r="G77" s="17">
        <v>118</v>
      </c>
      <c r="I77" s="17" t="s">
        <v>490</v>
      </c>
      <c r="K77" s="17" t="s">
        <v>408</v>
      </c>
      <c r="L77" s="17" t="s">
        <v>186</v>
      </c>
    </row>
    <row r="78" spans="1:16" x14ac:dyDescent="0.3">
      <c r="A78" s="17" t="s">
        <v>491</v>
      </c>
      <c r="B78" s="17" t="s">
        <v>492</v>
      </c>
      <c r="C78" s="17" t="s">
        <v>255</v>
      </c>
      <c r="D78" s="17" t="s">
        <v>226</v>
      </c>
      <c r="E78" s="17" t="s">
        <v>210</v>
      </c>
      <c r="F78" s="17" t="s">
        <v>427</v>
      </c>
      <c r="G78" s="17">
        <v>374</v>
      </c>
      <c r="H78" s="17">
        <v>295</v>
      </c>
      <c r="I78" s="17" t="s">
        <v>493</v>
      </c>
      <c r="J78" s="17" t="s">
        <v>80</v>
      </c>
      <c r="K78" s="17" t="s">
        <v>101</v>
      </c>
      <c r="L78" s="17" t="s">
        <v>276</v>
      </c>
      <c r="M78" s="18">
        <v>45907</v>
      </c>
      <c r="P78" s="17" t="s">
        <v>137</v>
      </c>
    </row>
    <row r="79" spans="1:16" x14ac:dyDescent="0.3">
      <c r="A79" s="17" t="s">
        <v>494</v>
      </c>
      <c r="B79" s="17" t="s">
        <v>495</v>
      </c>
      <c r="C79" s="17" t="s">
        <v>332</v>
      </c>
      <c r="D79" s="17" t="s">
        <v>58</v>
      </c>
      <c r="E79" s="17" t="s">
        <v>496</v>
      </c>
      <c r="F79" s="17" t="s">
        <v>307</v>
      </c>
      <c r="G79" s="17">
        <v>414</v>
      </c>
      <c r="H79" s="17">
        <v>330</v>
      </c>
      <c r="I79" s="17">
        <v>20671.14</v>
      </c>
      <c r="J79" s="17" t="s">
        <v>100</v>
      </c>
      <c r="K79" s="17" t="s">
        <v>71</v>
      </c>
      <c r="L79" s="17" t="s">
        <v>314</v>
      </c>
      <c r="M79" s="18">
        <v>45805</v>
      </c>
      <c r="O79" s="18">
        <v>45841</v>
      </c>
      <c r="P79" s="17" t="s">
        <v>247</v>
      </c>
    </row>
    <row r="80" spans="1:16" x14ac:dyDescent="0.3">
      <c r="A80" s="17" t="s">
        <v>497</v>
      </c>
      <c r="C80" s="17" t="s">
        <v>133</v>
      </c>
      <c r="D80" s="17" t="s">
        <v>272</v>
      </c>
      <c r="E80" s="17" t="s">
        <v>472</v>
      </c>
      <c r="F80" s="17" t="s">
        <v>460</v>
      </c>
      <c r="G80" s="17">
        <v>255</v>
      </c>
      <c r="H80" s="17">
        <v>242</v>
      </c>
      <c r="I80" s="17" t="s">
        <v>498</v>
      </c>
      <c r="J80" s="17" t="s">
        <v>347</v>
      </c>
      <c r="K80" s="17" t="s">
        <v>499</v>
      </c>
      <c r="L80" s="17" t="s">
        <v>309</v>
      </c>
      <c r="M80" s="18">
        <v>45913</v>
      </c>
      <c r="N80" s="17" t="s">
        <v>500</v>
      </c>
      <c r="P80" s="17" t="s">
        <v>501</v>
      </c>
    </row>
    <row r="81" spans="1:16" x14ac:dyDescent="0.3">
      <c r="A81" s="17" t="s">
        <v>502</v>
      </c>
      <c r="B81" s="18">
        <v>45716</v>
      </c>
      <c r="C81" s="17" t="s">
        <v>180</v>
      </c>
      <c r="D81" s="17" t="s">
        <v>181</v>
      </c>
      <c r="E81" s="17" t="s">
        <v>119</v>
      </c>
      <c r="F81" s="17" t="s">
        <v>364</v>
      </c>
      <c r="G81" s="17">
        <v>394</v>
      </c>
      <c r="H81" s="17">
        <v>392</v>
      </c>
      <c r="I81" s="17" t="s">
        <v>503</v>
      </c>
      <c r="J81" s="17" t="s">
        <v>143</v>
      </c>
      <c r="K81" s="17" t="s">
        <v>251</v>
      </c>
      <c r="L81" s="17" t="s">
        <v>205</v>
      </c>
      <c r="N81" s="18">
        <v>45734</v>
      </c>
      <c r="P81" s="17" t="s">
        <v>177</v>
      </c>
    </row>
    <row r="82" spans="1:16" x14ac:dyDescent="0.3">
      <c r="A82" s="17" t="s">
        <v>504</v>
      </c>
      <c r="B82" s="17" t="s">
        <v>505</v>
      </c>
      <c r="C82" s="17" t="s">
        <v>107</v>
      </c>
      <c r="D82" s="17" t="s">
        <v>266</v>
      </c>
      <c r="E82" s="17" t="s">
        <v>78</v>
      </c>
      <c r="F82" s="17" t="s">
        <v>79</v>
      </c>
      <c r="G82" s="17">
        <v>298</v>
      </c>
      <c r="H82" s="17">
        <v>296</v>
      </c>
      <c r="I82" s="17">
        <v>30616.57</v>
      </c>
      <c r="J82" s="17" t="s">
        <v>143</v>
      </c>
      <c r="K82" s="17" t="s">
        <v>261</v>
      </c>
      <c r="L82" s="17" t="s">
        <v>113</v>
      </c>
      <c r="M82" s="18">
        <v>45825</v>
      </c>
      <c r="N82" s="17" t="s">
        <v>506</v>
      </c>
      <c r="O82" s="17" t="s">
        <v>507</v>
      </c>
      <c r="P82" s="17" t="s">
        <v>278</v>
      </c>
    </row>
    <row r="83" spans="1:16" x14ac:dyDescent="0.3">
      <c r="A83" s="17" t="s">
        <v>508</v>
      </c>
      <c r="B83" s="17" t="s">
        <v>509</v>
      </c>
      <c r="C83" s="17" t="s">
        <v>255</v>
      </c>
      <c r="D83" s="17" t="s">
        <v>256</v>
      </c>
      <c r="E83" s="17" t="s">
        <v>510</v>
      </c>
      <c r="F83" s="17" t="s">
        <v>250</v>
      </c>
      <c r="G83" s="17">
        <v>379</v>
      </c>
      <c r="H83" s="17">
        <v>344</v>
      </c>
      <c r="I83" s="17" t="s">
        <v>511</v>
      </c>
      <c r="J83" s="17" t="s">
        <v>80</v>
      </c>
      <c r="K83" s="17" t="s">
        <v>101</v>
      </c>
      <c r="L83" s="17" t="s">
        <v>63</v>
      </c>
      <c r="M83" s="17" t="s">
        <v>512</v>
      </c>
      <c r="P83" s="17" t="s">
        <v>410</v>
      </c>
    </row>
    <row r="84" spans="1:16" x14ac:dyDescent="0.3">
      <c r="A84" s="17" t="s">
        <v>513</v>
      </c>
      <c r="C84" s="17" t="s">
        <v>232</v>
      </c>
      <c r="D84" s="17" t="s">
        <v>97</v>
      </c>
      <c r="E84" s="17" t="s">
        <v>514</v>
      </c>
      <c r="F84" s="17" t="s">
        <v>460</v>
      </c>
      <c r="G84" s="17">
        <v>452</v>
      </c>
      <c r="H84" s="17">
        <v>405</v>
      </c>
      <c r="I84" s="17" t="s">
        <v>515</v>
      </c>
      <c r="J84" s="17" t="s">
        <v>198</v>
      </c>
      <c r="K84" s="17" t="s">
        <v>71</v>
      </c>
      <c r="L84" s="17" t="s">
        <v>122</v>
      </c>
      <c r="M84" s="18">
        <v>46016</v>
      </c>
      <c r="O84" s="17" t="s">
        <v>516</v>
      </c>
      <c r="P84" s="17" t="s">
        <v>263</v>
      </c>
    </row>
    <row r="85" spans="1:16" x14ac:dyDescent="0.3">
      <c r="A85" s="17" t="s">
        <v>517</v>
      </c>
      <c r="C85" s="17" t="s">
        <v>518</v>
      </c>
      <c r="D85" s="17" t="s">
        <v>156</v>
      </c>
      <c r="E85" s="17" t="s">
        <v>363</v>
      </c>
      <c r="F85" s="17" t="s">
        <v>120</v>
      </c>
      <c r="G85" s="17">
        <v>200</v>
      </c>
      <c r="I85" s="17">
        <v>6121.61</v>
      </c>
      <c r="J85" s="17" t="s">
        <v>143</v>
      </c>
      <c r="K85" s="17" t="s">
        <v>92</v>
      </c>
      <c r="L85" s="17" t="s">
        <v>122</v>
      </c>
      <c r="P85" s="17" t="s">
        <v>153</v>
      </c>
    </row>
    <row r="86" spans="1:16" x14ac:dyDescent="0.3">
      <c r="A86" s="17" t="s">
        <v>519</v>
      </c>
      <c r="B86" s="17" t="s">
        <v>72</v>
      </c>
      <c r="C86" s="17" t="s">
        <v>318</v>
      </c>
      <c r="D86" s="17" t="s">
        <v>97</v>
      </c>
      <c r="E86" s="17" t="s">
        <v>520</v>
      </c>
      <c r="F86" s="17" t="s">
        <v>359</v>
      </c>
      <c r="G86" s="17">
        <v>403</v>
      </c>
      <c r="H86" s="17">
        <v>545</v>
      </c>
      <c r="I86" s="17" t="s">
        <v>521</v>
      </c>
      <c r="J86" s="17" t="s">
        <v>191</v>
      </c>
      <c r="K86" s="17" t="s">
        <v>129</v>
      </c>
      <c r="L86" s="17" t="s">
        <v>151</v>
      </c>
      <c r="N86" s="17" t="s">
        <v>522</v>
      </c>
      <c r="P86" s="17" t="s">
        <v>269</v>
      </c>
    </row>
    <row r="87" spans="1:16" x14ac:dyDescent="0.3">
      <c r="A87" s="17" t="s">
        <v>523</v>
      </c>
      <c r="B87" s="17" t="s">
        <v>524</v>
      </c>
      <c r="C87" s="17" t="s">
        <v>96</v>
      </c>
      <c r="D87" s="17" t="s">
        <v>97</v>
      </c>
      <c r="E87" s="17" t="s">
        <v>477</v>
      </c>
      <c r="F87" s="17" t="s">
        <v>120</v>
      </c>
      <c r="G87" s="17">
        <v>25</v>
      </c>
      <c r="I87" s="17">
        <v>42698.3</v>
      </c>
      <c r="J87" s="17" t="s">
        <v>229</v>
      </c>
      <c r="K87" s="17" t="s">
        <v>408</v>
      </c>
      <c r="L87" s="17" t="s">
        <v>239</v>
      </c>
      <c r="P87" s="17" t="s">
        <v>162</v>
      </c>
    </row>
    <row r="88" spans="1:16" x14ac:dyDescent="0.3">
      <c r="A88" s="17" t="s">
        <v>525</v>
      </c>
      <c r="B88" s="17" t="s">
        <v>526</v>
      </c>
      <c r="C88" s="17" t="s">
        <v>57</v>
      </c>
      <c r="D88" s="17" t="s">
        <v>77</v>
      </c>
      <c r="E88" s="17" t="s">
        <v>472</v>
      </c>
      <c r="F88" s="17" t="s">
        <v>460</v>
      </c>
      <c r="G88" s="17">
        <v>237</v>
      </c>
      <c r="H88" s="17">
        <v>308</v>
      </c>
      <c r="I88" s="17">
        <v>29663.65</v>
      </c>
      <c r="J88" s="17" t="s">
        <v>355</v>
      </c>
      <c r="K88" s="17" t="s">
        <v>251</v>
      </c>
      <c r="L88" s="17" t="s">
        <v>63</v>
      </c>
      <c r="N88" s="17" t="s">
        <v>527</v>
      </c>
      <c r="P88" s="17" t="s">
        <v>177</v>
      </c>
    </row>
    <row r="89" spans="1:16" x14ac:dyDescent="0.3">
      <c r="A89" s="17" t="s">
        <v>528</v>
      </c>
      <c r="C89" s="17" t="s">
        <v>57</v>
      </c>
      <c r="D89" s="17" t="s">
        <v>351</v>
      </c>
      <c r="E89" s="17" t="s">
        <v>78</v>
      </c>
      <c r="F89" s="17" t="s">
        <v>320</v>
      </c>
      <c r="G89" s="17">
        <v>85</v>
      </c>
      <c r="H89" s="17">
        <v>74</v>
      </c>
      <c r="I89" s="17">
        <v>32566.61</v>
      </c>
      <c r="J89" s="17" t="s">
        <v>191</v>
      </c>
      <c r="K89" s="17" t="s">
        <v>450</v>
      </c>
      <c r="L89" s="17" t="s">
        <v>113</v>
      </c>
      <c r="M89" s="18">
        <v>45690</v>
      </c>
      <c r="N89" s="17" t="s">
        <v>529</v>
      </c>
      <c r="P89" s="17" t="s">
        <v>177</v>
      </c>
    </row>
    <row r="90" spans="1:16" x14ac:dyDescent="0.3">
      <c r="A90" s="17" t="s">
        <v>530</v>
      </c>
      <c r="B90" s="18">
        <v>45772</v>
      </c>
      <c r="C90" s="17" t="s">
        <v>318</v>
      </c>
      <c r="D90" s="17" t="s">
        <v>118</v>
      </c>
      <c r="E90" s="17" t="s">
        <v>233</v>
      </c>
      <c r="F90" s="17" t="s">
        <v>468</v>
      </c>
      <c r="G90" s="17">
        <v>40</v>
      </c>
      <c r="H90" s="17">
        <v>37</v>
      </c>
      <c r="I90" s="17">
        <v>14084.8</v>
      </c>
      <c r="J90" s="17" t="s">
        <v>80</v>
      </c>
      <c r="K90" s="17" t="s">
        <v>261</v>
      </c>
      <c r="L90" s="17" t="s">
        <v>284</v>
      </c>
      <c r="M90" s="17" t="s">
        <v>531</v>
      </c>
      <c r="O90" s="17" t="s">
        <v>235</v>
      </c>
      <c r="P90" s="17" t="s">
        <v>433</v>
      </c>
    </row>
    <row r="91" spans="1:16" x14ac:dyDescent="0.3">
      <c r="A91" s="17" t="s">
        <v>532</v>
      </c>
      <c r="B91" s="17" t="s">
        <v>533</v>
      </c>
      <c r="C91" s="17" t="s">
        <v>489</v>
      </c>
      <c r="D91" s="17" t="s">
        <v>266</v>
      </c>
      <c r="E91" s="17" t="s">
        <v>89</v>
      </c>
      <c r="F91" s="17" t="s">
        <v>287</v>
      </c>
      <c r="G91" s="17">
        <v>256</v>
      </c>
      <c r="H91" s="17">
        <v>190</v>
      </c>
      <c r="I91" s="17">
        <v>12700.16</v>
      </c>
      <c r="J91" s="17" t="s">
        <v>191</v>
      </c>
      <c r="K91" s="17" t="s">
        <v>101</v>
      </c>
      <c r="L91" s="17" t="s">
        <v>193</v>
      </c>
      <c r="M91" s="17" t="s">
        <v>534</v>
      </c>
      <c r="N91" s="17" t="s">
        <v>535</v>
      </c>
      <c r="P91" s="17" t="s">
        <v>170</v>
      </c>
    </row>
    <row r="92" spans="1:16" x14ac:dyDescent="0.3">
      <c r="A92" s="17" t="s">
        <v>536</v>
      </c>
      <c r="B92" s="18">
        <v>45696</v>
      </c>
      <c r="C92" s="17" t="s">
        <v>318</v>
      </c>
      <c r="D92" s="17" t="s">
        <v>266</v>
      </c>
      <c r="E92" s="17" t="s">
        <v>128</v>
      </c>
      <c r="F92" s="17" t="s">
        <v>60</v>
      </c>
      <c r="G92" s="17">
        <v>84</v>
      </c>
      <c r="H92" s="17">
        <v>66</v>
      </c>
      <c r="I92" s="17">
        <v>5565.04</v>
      </c>
      <c r="K92" s="17" t="s">
        <v>288</v>
      </c>
      <c r="L92" s="17" t="s">
        <v>205</v>
      </c>
      <c r="M92" s="18">
        <v>45702</v>
      </c>
      <c r="N92" s="17" t="s">
        <v>414</v>
      </c>
      <c r="O92" s="17" t="s">
        <v>114</v>
      </c>
      <c r="P92" s="17" t="s">
        <v>236</v>
      </c>
    </row>
    <row r="93" spans="1:16" x14ac:dyDescent="0.3">
      <c r="A93" s="17" t="s">
        <v>537</v>
      </c>
      <c r="C93" s="17" t="s">
        <v>117</v>
      </c>
      <c r="D93" s="17" t="s">
        <v>249</v>
      </c>
      <c r="E93" s="17" t="s">
        <v>538</v>
      </c>
      <c r="F93" s="17" t="s">
        <v>196</v>
      </c>
      <c r="G93" s="17">
        <v>-67</v>
      </c>
      <c r="I93" s="17" t="s">
        <v>539</v>
      </c>
      <c r="J93" s="17" t="s">
        <v>61</v>
      </c>
      <c r="K93" s="17" t="s">
        <v>192</v>
      </c>
      <c r="L93" s="17" t="s">
        <v>122</v>
      </c>
    </row>
    <row r="94" spans="1:16" x14ac:dyDescent="0.3">
      <c r="A94" s="17" t="s">
        <v>540</v>
      </c>
      <c r="B94" s="17" t="s">
        <v>541</v>
      </c>
      <c r="C94" s="17" t="s">
        <v>281</v>
      </c>
      <c r="D94" s="17" t="s">
        <v>266</v>
      </c>
      <c r="E94" s="17" t="s">
        <v>542</v>
      </c>
      <c r="F94" s="17" t="s">
        <v>258</v>
      </c>
      <c r="G94" s="17">
        <v>-259</v>
      </c>
      <c r="H94" s="17">
        <v>194</v>
      </c>
      <c r="I94" s="17">
        <v>9780.02</v>
      </c>
      <c r="J94" s="17" t="s">
        <v>70</v>
      </c>
      <c r="K94" s="17" t="s">
        <v>261</v>
      </c>
      <c r="L94" s="17" t="s">
        <v>246</v>
      </c>
      <c r="M94" s="17" t="s">
        <v>543</v>
      </c>
      <c r="N94" s="17" t="s">
        <v>544</v>
      </c>
      <c r="O94" s="17" t="s">
        <v>545</v>
      </c>
      <c r="P94" s="17" t="s">
        <v>236</v>
      </c>
    </row>
    <row r="95" spans="1:16" x14ac:dyDescent="0.3">
      <c r="A95" s="17" t="s">
        <v>546</v>
      </c>
      <c r="B95" s="17" t="s">
        <v>547</v>
      </c>
      <c r="C95" s="17" t="s">
        <v>107</v>
      </c>
      <c r="D95" s="17" t="s">
        <v>118</v>
      </c>
      <c r="E95" s="17" t="s">
        <v>257</v>
      </c>
      <c r="F95" s="17" t="s">
        <v>548</v>
      </c>
      <c r="G95" s="17">
        <v>-97</v>
      </c>
      <c r="H95" s="17">
        <v>68</v>
      </c>
      <c r="I95" s="17" t="s">
        <v>549</v>
      </c>
      <c r="J95" s="17" t="s">
        <v>184</v>
      </c>
      <c r="K95" s="17" t="s">
        <v>175</v>
      </c>
      <c r="L95" s="17" t="s">
        <v>151</v>
      </c>
      <c r="M95" s="17" t="s">
        <v>550</v>
      </c>
      <c r="N95" s="18">
        <v>45958</v>
      </c>
      <c r="P95" s="17" t="s">
        <v>236</v>
      </c>
    </row>
    <row r="96" spans="1:16" x14ac:dyDescent="0.3">
      <c r="A96" s="17" t="s">
        <v>551</v>
      </c>
      <c r="B96" s="17" t="s">
        <v>552</v>
      </c>
      <c r="C96" s="17" t="s">
        <v>96</v>
      </c>
      <c r="D96" s="17" t="s">
        <v>88</v>
      </c>
      <c r="E96" s="17" t="s">
        <v>190</v>
      </c>
      <c r="F96" s="17" t="s">
        <v>228</v>
      </c>
      <c r="G96" s="17">
        <v>293</v>
      </c>
      <c r="J96" s="17" t="s">
        <v>229</v>
      </c>
      <c r="K96" s="17" t="s">
        <v>192</v>
      </c>
      <c r="L96" s="17" t="s">
        <v>122</v>
      </c>
    </row>
    <row r="97" spans="1:16" x14ac:dyDescent="0.3">
      <c r="A97" s="17" t="s">
        <v>553</v>
      </c>
      <c r="B97" s="17" t="s">
        <v>554</v>
      </c>
      <c r="C97" s="17" t="s">
        <v>117</v>
      </c>
      <c r="D97" s="17" t="s">
        <v>266</v>
      </c>
      <c r="E97" s="17" t="s">
        <v>555</v>
      </c>
      <c r="F97" s="17" t="s">
        <v>556</v>
      </c>
      <c r="G97" s="17">
        <v>365</v>
      </c>
      <c r="H97" s="17">
        <v>266</v>
      </c>
      <c r="I97" s="17">
        <v>13684.17</v>
      </c>
      <c r="J97" s="17" t="s">
        <v>61</v>
      </c>
      <c r="K97" s="17" t="s">
        <v>71</v>
      </c>
      <c r="L97" s="17" t="s">
        <v>151</v>
      </c>
      <c r="N97" s="17" t="s">
        <v>557</v>
      </c>
      <c r="O97" s="17" t="s">
        <v>558</v>
      </c>
      <c r="P97" s="17" t="s">
        <v>144</v>
      </c>
    </row>
    <row r="98" spans="1:16" x14ac:dyDescent="0.3">
      <c r="A98" s="17" t="s">
        <v>559</v>
      </c>
      <c r="B98" s="18">
        <v>45771</v>
      </c>
      <c r="C98" s="17" t="s">
        <v>489</v>
      </c>
      <c r="D98" s="17" t="s">
        <v>266</v>
      </c>
      <c r="E98" s="17" t="s">
        <v>67</v>
      </c>
      <c r="F98" s="17" t="s">
        <v>68</v>
      </c>
      <c r="G98" s="17">
        <v>77</v>
      </c>
      <c r="H98" s="17">
        <v>61</v>
      </c>
      <c r="J98" s="17" t="s">
        <v>80</v>
      </c>
      <c r="K98" s="17" t="s">
        <v>199</v>
      </c>
      <c r="L98" s="17" t="s">
        <v>193</v>
      </c>
      <c r="M98" s="17" t="s">
        <v>560</v>
      </c>
      <c r="P98" s="17" t="s">
        <v>84</v>
      </c>
    </row>
    <row r="99" spans="1:16" x14ac:dyDescent="0.3">
      <c r="A99" s="17" t="s">
        <v>561</v>
      </c>
      <c r="B99" s="17" t="s">
        <v>335</v>
      </c>
      <c r="C99" s="17" t="s">
        <v>155</v>
      </c>
      <c r="D99" s="17" t="s">
        <v>249</v>
      </c>
      <c r="E99" s="17" t="s">
        <v>477</v>
      </c>
      <c r="F99" s="17" t="s">
        <v>120</v>
      </c>
      <c r="G99" s="17">
        <v>42</v>
      </c>
      <c r="J99" s="17" t="s">
        <v>198</v>
      </c>
      <c r="K99" s="17" t="s">
        <v>62</v>
      </c>
      <c r="L99" s="17" t="s">
        <v>205</v>
      </c>
      <c r="P99" s="17" t="s">
        <v>104</v>
      </c>
    </row>
    <row r="100" spans="1:16" x14ac:dyDescent="0.3">
      <c r="A100" s="17" t="s">
        <v>562</v>
      </c>
      <c r="B100" s="18">
        <v>45707</v>
      </c>
      <c r="C100" s="17" t="s">
        <v>238</v>
      </c>
      <c r="D100" s="17" t="s">
        <v>256</v>
      </c>
      <c r="E100" s="17" t="s">
        <v>563</v>
      </c>
      <c r="F100" s="17" t="s">
        <v>60</v>
      </c>
      <c r="G100" s="17">
        <v>32</v>
      </c>
      <c r="I100" s="17" t="s">
        <v>564</v>
      </c>
      <c r="J100" s="17" t="s">
        <v>91</v>
      </c>
      <c r="K100" s="17" t="s">
        <v>192</v>
      </c>
      <c r="L100" s="17" t="s">
        <v>122</v>
      </c>
      <c r="P100" s="17" t="s">
        <v>207</v>
      </c>
    </row>
    <row r="101" spans="1:16" x14ac:dyDescent="0.3">
      <c r="A101" s="17" t="s">
        <v>565</v>
      </c>
      <c r="B101" s="17" t="s">
        <v>566</v>
      </c>
      <c r="C101" s="17" t="s">
        <v>232</v>
      </c>
      <c r="D101" s="17" t="s">
        <v>181</v>
      </c>
      <c r="E101" s="17" t="s">
        <v>257</v>
      </c>
      <c r="F101" s="17" t="s">
        <v>334</v>
      </c>
      <c r="G101" s="17">
        <v>82</v>
      </c>
      <c r="H101" s="17">
        <v>59</v>
      </c>
      <c r="I101" s="17" t="s">
        <v>567</v>
      </c>
      <c r="J101" s="17" t="s">
        <v>174</v>
      </c>
      <c r="K101" s="17" t="s">
        <v>251</v>
      </c>
      <c r="L101" s="17" t="s">
        <v>102</v>
      </c>
      <c r="M101" s="17" t="s">
        <v>568</v>
      </c>
      <c r="N101" s="17" t="s">
        <v>132</v>
      </c>
      <c r="P101" s="17" t="s">
        <v>230</v>
      </c>
    </row>
    <row r="102" spans="1:16" x14ac:dyDescent="0.3">
      <c r="A102" s="17" t="s">
        <v>569</v>
      </c>
      <c r="B102" s="17" t="s">
        <v>570</v>
      </c>
      <c r="C102" s="17" t="s">
        <v>57</v>
      </c>
      <c r="D102" s="17" t="s">
        <v>189</v>
      </c>
      <c r="E102" s="17" t="s">
        <v>345</v>
      </c>
      <c r="F102" s="17" t="s">
        <v>359</v>
      </c>
      <c r="H102" s="17">
        <v>168</v>
      </c>
      <c r="I102" s="17" t="s">
        <v>571</v>
      </c>
      <c r="J102" s="17" t="s">
        <v>191</v>
      </c>
      <c r="K102" s="17" t="s">
        <v>212</v>
      </c>
      <c r="L102" s="17" t="s">
        <v>314</v>
      </c>
      <c r="M102" s="18">
        <v>45769</v>
      </c>
      <c r="O102" s="17" t="s">
        <v>572</v>
      </c>
      <c r="P102" s="17" t="s">
        <v>84</v>
      </c>
    </row>
    <row r="103" spans="1:16" x14ac:dyDescent="0.3">
      <c r="A103" s="17" t="s">
        <v>573</v>
      </c>
      <c r="C103" s="17" t="s">
        <v>57</v>
      </c>
      <c r="D103" s="17" t="s">
        <v>66</v>
      </c>
      <c r="E103" s="17" t="s">
        <v>119</v>
      </c>
      <c r="F103" s="17" t="s">
        <v>167</v>
      </c>
      <c r="G103" s="17">
        <v>201</v>
      </c>
      <c r="H103" s="17">
        <v>169</v>
      </c>
      <c r="I103" s="17">
        <v>7873.16</v>
      </c>
      <c r="K103" s="17" t="s">
        <v>71</v>
      </c>
      <c r="L103" s="17" t="s">
        <v>93</v>
      </c>
      <c r="M103" s="17" t="s">
        <v>574</v>
      </c>
      <c r="O103" s="17" t="s">
        <v>447</v>
      </c>
      <c r="P103" s="17" t="s">
        <v>170</v>
      </c>
    </row>
    <row r="104" spans="1:16" x14ac:dyDescent="0.3">
      <c r="A104" s="17" t="s">
        <v>575</v>
      </c>
      <c r="C104" s="17" t="s">
        <v>232</v>
      </c>
      <c r="D104" s="17" t="s">
        <v>97</v>
      </c>
      <c r="E104" s="17" t="s">
        <v>190</v>
      </c>
      <c r="F104" s="17" t="s">
        <v>228</v>
      </c>
      <c r="G104" s="17">
        <v>231</v>
      </c>
      <c r="H104" s="17">
        <v>213</v>
      </c>
      <c r="I104" s="17" t="s">
        <v>576</v>
      </c>
      <c r="J104" s="17" t="s">
        <v>61</v>
      </c>
      <c r="K104" s="17" t="s">
        <v>499</v>
      </c>
      <c r="L104" s="17" t="s">
        <v>82</v>
      </c>
      <c r="M104" s="17" t="s">
        <v>577</v>
      </c>
      <c r="N104" s="18">
        <v>45883</v>
      </c>
      <c r="P104" s="17" t="s">
        <v>263</v>
      </c>
    </row>
    <row r="105" spans="1:16" x14ac:dyDescent="0.3">
      <c r="A105" s="17" t="s">
        <v>578</v>
      </c>
      <c r="B105" s="18">
        <v>45908</v>
      </c>
      <c r="C105" s="17" t="s">
        <v>65</v>
      </c>
      <c r="D105" s="17" t="s">
        <v>77</v>
      </c>
      <c r="E105" s="17" t="s">
        <v>157</v>
      </c>
      <c r="F105" s="17" t="s">
        <v>579</v>
      </c>
      <c r="G105" s="17">
        <v>305</v>
      </c>
      <c r="H105" s="17">
        <v>290</v>
      </c>
      <c r="I105" s="17">
        <v>11750.9</v>
      </c>
      <c r="J105" s="17" t="s">
        <v>260</v>
      </c>
      <c r="L105" s="17" t="s">
        <v>276</v>
      </c>
      <c r="M105" s="17" t="s">
        <v>580</v>
      </c>
      <c r="P105" s="17" t="s">
        <v>433</v>
      </c>
    </row>
    <row r="106" spans="1:16" x14ac:dyDescent="0.3">
      <c r="A106" s="17" t="s">
        <v>581</v>
      </c>
      <c r="B106" s="17" t="s">
        <v>582</v>
      </c>
      <c r="C106" s="17" t="s">
        <v>483</v>
      </c>
      <c r="D106" s="17" t="s">
        <v>118</v>
      </c>
      <c r="E106" s="17" t="s">
        <v>59</v>
      </c>
      <c r="F106" s="17" t="s">
        <v>282</v>
      </c>
      <c r="G106" s="17">
        <v>134</v>
      </c>
      <c r="H106" s="17">
        <v>114</v>
      </c>
      <c r="I106" s="17" t="s">
        <v>583</v>
      </c>
      <c r="J106" s="17" t="s">
        <v>229</v>
      </c>
      <c r="K106" s="17" t="s">
        <v>261</v>
      </c>
      <c r="L106" s="17" t="s">
        <v>284</v>
      </c>
      <c r="M106" s="17" t="s">
        <v>584</v>
      </c>
      <c r="N106" s="18">
        <v>45892</v>
      </c>
      <c r="P106" s="17" t="s">
        <v>84</v>
      </c>
    </row>
    <row r="107" spans="1:16" x14ac:dyDescent="0.3">
      <c r="A107" s="17" t="s">
        <v>585</v>
      </c>
      <c r="B107" s="17" t="s">
        <v>586</v>
      </c>
      <c r="C107" s="17" t="s">
        <v>476</v>
      </c>
      <c r="D107" s="17" t="s">
        <v>77</v>
      </c>
      <c r="E107" s="17" t="s">
        <v>555</v>
      </c>
      <c r="F107" s="17" t="s">
        <v>556</v>
      </c>
      <c r="G107" s="17">
        <v>469</v>
      </c>
      <c r="H107" s="17">
        <v>333</v>
      </c>
      <c r="I107" s="17" t="s">
        <v>587</v>
      </c>
      <c r="J107" s="17" t="s">
        <v>143</v>
      </c>
      <c r="K107" s="17" t="s">
        <v>175</v>
      </c>
      <c r="L107" s="17" t="s">
        <v>186</v>
      </c>
      <c r="M107" s="18">
        <v>46003</v>
      </c>
      <c r="N107" s="17" t="s">
        <v>588</v>
      </c>
      <c r="P107" s="17" t="s">
        <v>137</v>
      </c>
    </row>
    <row r="108" spans="1:16" x14ac:dyDescent="0.3">
      <c r="A108" s="17" t="s">
        <v>589</v>
      </c>
      <c r="B108" s="17" t="s">
        <v>56</v>
      </c>
      <c r="C108" s="17" t="s">
        <v>281</v>
      </c>
      <c r="D108" s="17" t="s">
        <v>118</v>
      </c>
      <c r="E108" s="17" t="s">
        <v>379</v>
      </c>
      <c r="F108" s="17" t="s">
        <v>579</v>
      </c>
      <c r="G108" s="17">
        <v>408</v>
      </c>
      <c r="H108" s="17">
        <v>357</v>
      </c>
      <c r="I108" s="17">
        <v>20949.66</v>
      </c>
      <c r="J108" s="17" t="s">
        <v>143</v>
      </c>
      <c r="K108" s="17" t="s">
        <v>261</v>
      </c>
      <c r="L108" s="17" t="s">
        <v>276</v>
      </c>
      <c r="N108" s="17" t="s">
        <v>590</v>
      </c>
      <c r="O108" s="18">
        <v>45790</v>
      </c>
      <c r="P108" s="17" t="s">
        <v>591</v>
      </c>
    </row>
    <row r="109" spans="1:16" x14ac:dyDescent="0.3">
      <c r="A109" s="17" t="s">
        <v>592</v>
      </c>
      <c r="B109" s="17" t="s">
        <v>593</v>
      </c>
      <c r="C109" s="17" t="s">
        <v>87</v>
      </c>
      <c r="D109" s="17" t="s">
        <v>88</v>
      </c>
      <c r="E109" s="17" t="s">
        <v>369</v>
      </c>
      <c r="F109" s="17" t="s">
        <v>370</v>
      </c>
      <c r="G109" s="17">
        <v>255</v>
      </c>
      <c r="H109" s="17">
        <v>188</v>
      </c>
      <c r="I109" s="17" t="s">
        <v>594</v>
      </c>
      <c r="J109" s="17" t="s">
        <v>303</v>
      </c>
      <c r="K109" s="17" t="s">
        <v>101</v>
      </c>
      <c r="L109" s="17" t="s">
        <v>82</v>
      </c>
      <c r="M109" s="18">
        <v>45896</v>
      </c>
      <c r="P109" s="17" t="s">
        <v>595</v>
      </c>
    </row>
    <row r="110" spans="1:16" x14ac:dyDescent="0.3">
      <c r="A110" s="17" t="s">
        <v>596</v>
      </c>
      <c r="C110" s="17" t="s">
        <v>358</v>
      </c>
      <c r="D110" s="17" t="s">
        <v>88</v>
      </c>
      <c r="E110" s="17" t="s">
        <v>597</v>
      </c>
      <c r="F110" s="17" t="s">
        <v>150</v>
      </c>
      <c r="G110" s="17">
        <v>459</v>
      </c>
      <c r="H110" s="17">
        <v>458</v>
      </c>
      <c r="I110" s="17" t="s">
        <v>598</v>
      </c>
      <c r="J110" s="17" t="s">
        <v>143</v>
      </c>
      <c r="K110" s="17" t="s">
        <v>129</v>
      </c>
      <c r="L110" s="17" t="s">
        <v>276</v>
      </c>
      <c r="M110" s="17" t="s">
        <v>599</v>
      </c>
      <c r="P110" s="17" t="s">
        <v>310</v>
      </c>
    </row>
    <row r="111" spans="1:16" x14ac:dyDescent="0.3">
      <c r="A111" s="17" t="s">
        <v>600</v>
      </c>
      <c r="B111" s="18">
        <v>45852</v>
      </c>
      <c r="C111" s="17" t="s">
        <v>117</v>
      </c>
      <c r="D111" s="17" t="s">
        <v>148</v>
      </c>
      <c r="E111" s="17" t="s">
        <v>514</v>
      </c>
      <c r="F111" s="17" t="s">
        <v>444</v>
      </c>
      <c r="G111" s="17">
        <v>364</v>
      </c>
      <c r="I111" s="17">
        <v>31329.360000000001</v>
      </c>
      <c r="J111" s="17" t="s">
        <v>143</v>
      </c>
      <c r="K111" s="17" t="s">
        <v>601</v>
      </c>
      <c r="L111" s="17" t="s">
        <v>246</v>
      </c>
    </row>
    <row r="112" spans="1:16" x14ac:dyDescent="0.3">
      <c r="A112" s="17" t="s">
        <v>602</v>
      </c>
      <c r="B112" s="17" t="s">
        <v>603</v>
      </c>
      <c r="C112" s="17" t="s">
        <v>155</v>
      </c>
      <c r="D112" s="17" t="s">
        <v>156</v>
      </c>
      <c r="E112" s="17" t="s">
        <v>89</v>
      </c>
      <c r="F112" s="17" t="s">
        <v>287</v>
      </c>
      <c r="G112" s="17">
        <v>357</v>
      </c>
      <c r="I112" s="17">
        <v>14977.57</v>
      </c>
      <c r="J112" s="17" t="s">
        <v>70</v>
      </c>
      <c r="K112" s="17" t="s">
        <v>192</v>
      </c>
      <c r="L112" s="17" t="s">
        <v>239</v>
      </c>
      <c r="P112" s="17" t="s">
        <v>242</v>
      </c>
    </row>
    <row r="113" spans="1:16" x14ac:dyDescent="0.3">
      <c r="A113" s="17" t="s">
        <v>604</v>
      </c>
      <c r="B113" s="17" t="s">
        <v>605</v>
      </c>
      <c r="C113" s="17" t="s">
        <v>489</v>
      </c>
      <c r="D113" s="17" t="s">
        <v>181</v>
      </c>
      <c r="E113" s="17" t="s">
        <v>67</v>
      </c>
      <c r="F113" s="17" t="s">
        <v>250</v>
      </c>
      <c r="G113" s="17">
        <v>441</v>
      </c>
      <c r="I113" s="17" t="s">
        <v>606</v>
      </c>
      <c r="J113" s="17" t="s">
        <v>80</v>
      </c>
      <c r="K113" s="17" t="s">
        <v>192</v>
      </c>
      <c r="L113" s="17" t="s">
        <v>63</v>
      </c>
      <c r="P113" s="17" t="s">
        <v>252</v>
      </c>
    </row>
    <row r="114" spans="1:16" x14ac:dyDescent="0.3">
      <c r="A114" s="17" t="s">
        <v>607</v>
      </c>
      <c r="C114" s="17" t="s">
        <v>489</v>
      </c>
      <c r="D114" s="17" t="s">
        <v>333</v>
      </c>
      <c r="E114" s="17" t="s">
        <v>363</v>
      </c>
      <c r="F114" s="17" t="s">
        <v>608</v>
      </c>
      <c r="G114" s="17">
        <v>317</v>
      </c>
      <c r="H114" s="17">
        <v>224</v>
      </c>
      <c r="I114" s="17">
        <v>30848.22</v>
      </c>
      <c r="J114" s="17" t="s">
        <v>184</v>
      </c>
      <c r="K114" s="17" t="s">
        <v>129</v>
      </c>
      <c r="L114" s="17" t="s">
        <v>82</v>
      </c>
      <c r="M114" s="17" t="s">
        <v>609</v>
      </c>
      <c r="N114" s="17" t="s">
        <v>610</v>
      </c>
      <c r="P114" s="17" t="s">
        <v>207</v>
      </c>
    </row>
    <row r="115" spans="1:16" x14ac:dyDescent="0.3">
      <c r="A115" s="17" t="s">
        <v>611</v>
      </c>
      <c r="B115" s="18">
        <v>45943</v>
      </c>
      <c r="C115" s="17" t="s">
        <v>165</v>
      </c>
      <c r="D115" s="17" t="s">
        <v>209</v>
      </c>
      <c r="E115" s="17" t="s">
        <v>443</v>
      </c>
      <c r="F115" s="17" t="s">
        <v>460</v>
      </c>
      <c r="G115" s="17">
        <v>334</v>
      </c>
      <c r="H115" s="17">
        <v>280</v>
      </c>
      <c r="I115" s="17">
        <v>22388.2</v>
      </c>
      <c r="J115" s="17" t="s">
        <v>100</v>
      </c>
      <c r="K115" s="17" t="s">
        <v>71</v>
      </c>
      <c r="L115" s="17" t="s">
        <v>314</v>
      </c>
      <c r="N115" s="17" t="s">
        <v>612</v>
      </c>
      <c r="O115" s="17" t="s">
        <v>613</v>
      </c>
    </row>
    <row r="116" spans="1:16" x14ac:dyDescent="0.3">
      <c r="A116" s="17" t="s">
        <v>614</v>
      </c>
      <c r="B116" s="17" t="s">
        <v>615</v>
      </c>
      <c r="C116" s="17" t="s">
        <v>489</v>
      </c>
      <c r="D116" s="17" t="s">
        <v>266</v>
      </c>
      <c r="E116" s="17" t="s">
        <v>369</v>
      </c>
      <c r="F116" s="17" t="s">
        <v>370</v>
      </c>
      <c r="G116" s="17">
        <v>340</v>
      </c>
      <c r="H116" s="17">
        <v>275</v>
      </c>
      <c r="I116" s="17" t="s">
        <v>616</v>
      </c>
      <c r="J116" s="17" t="s">
        <v>143</v>
      </c>
      <c r="K116" s="17" t="s">
        <v>288</v>
      </c>
      <c r="L116" s="17" t="s">
        <v>82</v>
      </c>
      <c r="M116" s="17" t="s">
        <v>617</v>
      </c>
      <c r="N116" s="17" t="s">
        <v>618</v>
      </c>
      <c r="O116" s="17" t="s">
        <v>619</v>
      </c>
      <c r="P116" s="17" t="s">
        <v>207</v>
      </c>
    </row>
    <row r="117" spans="1:16" x14ac:dyDescent="0.3">
      <c r="A117" s="17" t="s">
        <v>620</v>
      </c>
      <c r="B117" s="17" t="s">
        <v>621</v>
      </c>
      <c r="C117" s="17" t="s">
        <v>155</v>
      </c>
      <c r="D117" s="17" t="s">
        <v>209</v>
      </c>
      <c r="E117" s="17" t="s">
        <v>514</v>
      </c>
      <c r="F117" s="17" t="s">
        <v>460</v>
      </c>
      <c r="G117" s="17">
        <v>60</v>
      </c>
      <c r="H117" s="17">
        <v>77</v>
      </c>
      <c r="I117" s="17">
        <v>30295.56</v>
      </c>
      <c r="J117" s="17" t="s">
        <v>347</v>
      </c>
      <c r="K117" s="17" t="s">
        <v>288</v>
      </c>
      <c r="L117" s="17" t="s">
        <v>409</v>
      </c>
      <c r="M117" s="17" t="s">
        <v>622</v>
      </c>
      <c r="O117" s="18">
        <v>45932</v>
      </c>
      <c r="P117" s="17" t="s">
        <v>236</v>
      </c>
    </row>
    <row r="118" spans="1:16" x14ac:dyDescent="0.3">
      <c r="A118" s="17" t="s">
        <v>623</v>
      </c>
      <c r="B118" s="17" t="s">
        <v>624</v>
      </c>
      <c r="C118" s="17" t="s">
        <v>299</v>
      </c>
      <c r="D118" s="17" t="s">
        <v>66</v>
      </c>
      <c r="E118" s="17" t="s">
        <v>379</v>
      </c>
      <c r="F118" s="17" t="s">
        <v>579</v>
      </c>
      <c r="G118" s="17">
        <v>417</v>
      </c>
      <c r="H118" s="17">
        <v>379</v>
      </c>
      <c r="I118" s="17" t="s">
        <v>625</v>
      </c>
      <c r="J118" s="17" t="s">
        <v>143</v>
      </c>
      <c r="K118" s="17" t="s">
        <v>212</v>
      </c>
      <c r="L118" s="17" t="s">
        <v>276</v>
      </c>
      <c r="M118" s="18">
        <v>45866</v>
      </c>
      <c r="O118" s="18">
        <v>45905</v>
      </c>
      <c r="P118" s="17" t="s">
        <v>349</v>
      </c>
    </row>
    <row r="119" spans="1:16" x14ac:dyDescent="0.3">
      <c r="A119" s="17" t="s">
        <v>626</v>
      </c>
      <c r="C119" s="17" t="s">
        <v>476</v>
      </c>
      <c r="D119" s="17" t="s">
        <v>66</v>
      </c>
      <c r="E119" s="17" t="s">
        <v>319</v>
      </c>
      <c r="F119" s="17" t="s">
        <v>320</v>
      </c>
      <c r="G119" s="17">
        <v>200</v>
      </c>
      <c r="H119" s="17">
        <v>151</v>
      </c>
      <c r="I119" s="17" t="s">
        <v>627</v>
      </c>
      <c r="J119" s="17" t="s">
        <v>80</v>
      </c>
      <c r="K119" s="17" t="s">
        <v>261</v>
      </c>
      <c r="L119" s="17" t="s">
        <v>314</v>
      </c>
      <c r="M119" s="17" t="s">
        <v>577</v>
      </c>
      <c r="N119" s="17" t="s">
        <v>179</v>
      </c>
      <c r="O119" s="17" t="s">
        <v>628</v>
      </c>
      <c r="P119" s="17" t="s">
        <v>429</v>
      </c>
    </row>
    <row r="120" spans="1:16" x14ac:dyDescent="0.3">
      <c r="A120" s="17" t="s">
        <v>629</v>
      </c>
      <c r="B120" s="17" t="s">
        <v>630</v>
      </c>
      <c r="C120" s="17" t="s">
        <v>299</v>
      </c>
      <c r="D120" s="17" t="s">
        <v>77</v>
      </c>
      <c r="E120" s="17" t="s">
        <v>190</v>
      </c>
      <c r="F120" s="17" t="s">
        <v>68</v>
      </c>
      <c r="G120" s="17">
        <v>322</v>
      </c>
      <c r="I120" s="17">
        <v>38740.949999999997</v>
      </c>
      <c r="J120" s="17" t="s">
        <v>229</v>
      </c>
      <c r="K120" s="17" t="s">
        <v>62</v>
      </c>
      <c r="L120" s="17" t="s">
        <v>122</v>
      </c>
      <c r="P120" s="17" t="s">
        <v>269</v>
      </c>
    </row>
    <row r="121" spans="1:16" x14ac:dyDescent="0.3">
      <c r="A121" s="17" t="s">
        <v>631</v>
      </c>
      <c r="B121" s="17" t="s">
        <v>632</v>
      </c>
      <c r="C121" s="17" t="s">
        <v>332</v>
      </c>
      <c r="D121" s="17" t="s">
        <v>77</v>
      </c>
      <c r="E121" s="17" t="s">
        <v>400</v>
      </c>
      <c r="F121" s="17" t="s">
        <v>60</v>
      </c>
      <c r="G121" s="17">
        <v>174</v>
      </c>
      <c r="H121" s="17">
        <v>123</v>
      </c>
      <c r="I121" s="17" t="s">
        <v>633</v>
      </c>
      <c r="J121" s="17" t="s">
        <v>174</v>
      </c>
      <c r="K121" s="17" t="s">
        <v>175</v>
      </c>
      <c r="L121" s="17" t="s">
        <v>205</v>
      </c>
      <c r="M121" s="18">
        <v>45750</v>
      </c>
      <c r="N121" s="18">
        <v>45756</v>
      </c>
      <c r="P121" s="17" t="s">
        <v>429</v>
      </c>
    </row>
    <row r="122" spans="1:16" x14ac:dyDescent="0.3">
      <c r="A122" s="17" t="s">
        <v>634</v>
      </c>
      <c r="C122" s="17" t="s">
        <v>216</v>
      </c>
      <c r="D122" s="17" t="s">
        <v>294</v>
      </c>
      <c r="E122" s="17" t="s">
        <v>477</v>
      </c>
      <c r="F122" s="17" t="s">
        <v>167</v>
      </c>
      <c r="G122" s="17">
        <v>354</v>
      </c>
      <c r="H122" s="17">
        <v>332</v>
      </c>
      <c r="I122" s="17" t="s">
        <v>635</v>
      </c>
      <c r="J122" s="17" t="s">
        <v>260</v>
      </c>
      <c r="K122" s="17" t="s">
        <v>636</v>
      </c>
      <c r="L122" s="17" t="s">
        <v>63</v>
      </c>
      <c r="M122" s="18">
        <v>45891</v>
      </c>
      <c r="N122" s="17" t="s">
        <v>637</v>
      </c>
      <c r="P122" s="17" t="s">
        <v>162</v>
      </c>
    </row>
    <row r="123" spans="1:16" x14ac:dyDescent="0.3">
      <c r="A123" s="17" t="s">
        <v>638</v>
      </c>
      <c r="B123" s="18">
        <v>46009</v>
      </c>
      <c r="C123" s="17" t="s">
        <v>639</v>
      </c>
      <c r="D123" s="17" t="s">
        <v>58</v>
      </c>
      <c r="E123" s="17" t="s">
        <v>514</v>
      </c>
      <c r="F123" s="17" t="s">
        <v>339</v>
      </c>
      <c r="H123" s="17">
        <v>32</v>
      </c>
      <c r="J123" s="17" t="s">
        <v>355</v>
      </c>
      <c r="K123" s="17" t="s">
        <v>636</v>
      </c>
      <c r="L123" s="17" t="s">
        <v>113</v>
      </c>
      <c r="M123" s="17" t="s">
        <v>640</v>
      </c>
      <c r="N123" s="18">
        <v>46031</v>
      </c>
      <c r="P123" s="17" t="s">
        <v>385</v>
      </c>
    </row>
    <row r="124" spans="1:16" x14ac:dyDescent="0.3">
      <c r="A124" s="17" t="s">
        <v>641</v>
      </c>
      <c r="B124" s="18">
        <v>45860</v>
      </c>
      <c r="C124" s="17" t="s">
        <v>255</v>
      </c>
      <c r="D124" s="17" t="s">
        <v>226</v>
      </c>
      <c r="E124" s="17" t="s">
        <v>257</v>
      </c>
      <c r="F124" s="17" t="s">
        <v>334</v>
      </c>
      <c r="G124" s="17">
        <v>85</v>
      </c>
      <c r="H124" s="17">
        <v>69</v>
      </c>
      <c r="J124" s="17" t="s">
        <v>61</v>
      </c>
      <c r="L124" s="17" t="s">
        <v>485</v>
      </c>
      <c r="M124" s="18">
        <v>45869</v>
      </c>
      <c r="N124" s="17" t="s">
        <v>642</v>
      </c>
      <c r="P124" s="17" t="s">
        <v>153</v>
      </c>
    </row>
    <row r="125" spans="1:16" x14ac:dyDescent="0.3">
      <c r="A125" s="17" t="s">
        <v>643</v>
      </c>
      <c r="B125" s="18">
        <v>45740</v>
      </c>
      <c r="C125" s="17" t="s">
        <v>281</v>
      </c>
      <c r="D125" s="17" t="s">
        <v>148</v>
      </c>
      <c r="E125" s="17" t="s">
        <v>319</v>
      </c>
      <c r="F125" s="17" t="s">
        <v>79</v>
      </c>
      <c r="G125" s="17">
        <v>63</v>
      </c>
      <c r="H125" s="17">
        <v>60</v>
      </c>
      <c r="I125" s="17">
        <v>38334.74</v>
      </c>
      <c r="J125" s="17" t="s">
        <v>229</v>
      </c>
      <c r="K125" s="17" t="s">
        <v>112</v>
      </c>
      <c r="L125" s="17" t="s">
        <v>309</v>
      </c>
      <c r="M125" s="17" t="s">
        <v>644</v>
      </c>
      <c r="N125" s="17" t="s">
        <v>645</v>
      </c>
      <c r="P125" s="17" t="s">
        <v>646</v>
      </c>
    </row>
    <row r="126" spans="1:16" x14ac:dyDescent="0.3">
      <c r="A126" s="17" t="s">
        <v>647</v>
      </c>
      <c r="B126" s="17" t="s">
        <v>648</v>
      </c>
      <c r="C126" s="17" t="s">
        <v>281</v>
      </c>
      <c r="D126" s="17" t="s">
        <v>66</v>
      </c>
      <c r="E126" s="17" t="s">
        <v>149</v>
      </c>
      <c r="F126" s="17" t="s">
        <v>150</v>
      </c>
      <c r="G126" s="17">
        <v>435</v>
      </c>
      <c r="H126" s="17">
        <v>347</v>
      </c>
      <c r="I126" s="17">
        <v>21675.94</v>
      </c>
      <c r="J126" s="17" t="s">
        <v>184</v>
      </c>
      <c r="K126" s="17" t="s">
        <v>261</v>
      </c>
      <c r="L126" s="17" t="s">
        <v>151</v>
      </c>
      <c r="M126" s="17" t="s">
        <v>566</v>
      </c>
      <c r="N126" s="17" t="s">
        <v>649</v>
      </c>
      <c r="O126" s="17" t="s">
        <v>650</v>
      </c>
      <c r="P126" s="17" t="s">
        <v>429</v>
      </c>
    </row>
    <row r="127" spans="1:16" x14ac:dyDescent="0.3">
      <c r="A127" s="17" t="s">
        <v>651</v>
      </c>
      <c r="B127" s="18">
        <v>45899</v>
      </c>
      <c r="C127" s="17" t="s">
        <v>306</v>
      </c>
      <c r="D127" s="17" t="s">
        <v>118</v>
      </c>
      <c r="E127" s="17" t="s">
        <v>538</v>
      </c>
      <c r="F127" s="17" t="s">
        <v>196</v>
      </c>
      <c r="G127" s="17">
        <v>205</v>
      </c>
      <c r="H127" s="17">
        <v>188</v>
      </c>
      <c r="I127" s="17" t="s">
        <v>652</v>
      </c>
      <c r="J127" s="17" t="s">
        <v>260</v>
      </c>
      <c r="K127" s="17" t="s">
        <v>261</v>
      </c>
      <c r="L127" s="17" t="s">
        <v>151</v>
      </c>
      <c r="M127" s="17" t="s">
        <v>628</v>
      </c>
      <c r="N127" s="17" t="s">
        <v>653</v>
      </c>
      <c r="O127" s="18">
        <v>45939</v>
      </c>
      <c r="P127" s="17" t="s">
        <v>373</v>
      </c>
    </row>
    <row r="128" spans="1:16" x14ac:dyDescent="0.3">
      <c r="A128" s="17" t="s">
        <v>654</v>
      </c>
      <c r="B128" s="17" t="s">
        <v>176</v>
      </c>
      <c r="C128" s="17" t="s">
        <v>293</v>
      </c>
      <c r="D128" s="17" t="s">
        <v>66</v>
      </c>
      <c r="E128" s="17" t="s">
        <v>379</v>
      </c>
      <c r="F128" s="17" t="s">
        <v>182</v>
      </c>
      <c r="G128" s="17">
        <v>245</v>
      </c>
      <c r="H128" s="17">
        <v>174</v>
      </c>
      <c r="I128" s="17">
        <v>29236.33</v>
      </c>
      <c r="J128" s="17" t="s">
        <v>174</v>
      </c>
      <c r="K128" s="17" t="s">
        <v>112</v>
      </c>
      <c r="L128" s="17" t="s">
        <v>193</v>
      </c>
      <c r="M128" s="17" t="s">
        <v>655</v>
      </c>
      <c r="N128" s="17" t="s">
        <v>656</v>
      </c>
      <c r="P128" s="17" t="s">
        <v>385</v>
      </c>
    </row>
    <row r="129" spans="1:16" x14ac:dyDescent="0.3">
      <c r="A129" s="17" t="s">
        <v>657</v>
      </c>
      <c r="B129" s="17" t="s">
        <v>352</v>
      </c>
      <c r="C129" s="17" t="s">
        <v>96</v>
      </c>
      <c r="D129" s="17" t="s">
        <v>88</v>
      </c>
      <c r="E129" s="17" t="s">
        <v>157</v>
      </c>
      <c r="F129" s="17" t="s">
        <v>182</v>
      </c>
      <c r="G129" s="17">
        <v>100</v>
      </c>
      <c r="H129" s="17">
        <v>94</v>
      </c>
      <c r="K129" s="17" t="s">
        <v>129</v>
      </c>
      <c r="L129" s="17" t="s">
        <v>122</v>
      </c>
      <c r="M129" s="17" t="s">
        <v>653</v>
      </c>
      <c r="P129" s="17" t="s">
        <v>137</v>
      </c>
    </row>
    <row r="130" spans="1:16" x14ac:dyDescent="0.3">
      <c r="A130" s="17" t="s">
        <v>658</v>
      </c>
      <c r="B130" s="18">
        <v>45701</v>
      </c>
      <c r="C130" s="17" t="s">
        <v>299</v>
      </c>
      <c r="D130" s="17" t="s">
        <v>77</v>
      </c>
      <c r="E130" s="17" t="s">
        <v>659</v>
      </c>
      <c r="F130" s="17" t="s">
        <v>150</v>
      </c>
      <c r="G130" s="17">
        <v>92</v>
      </c>
      <c r="H130" s="17">
        <v>68</v>
      </c>
      <c r="I130" s="17" t="s">
        <v>660</v>
      </c>
      <c r="J130" s="17" t="s">
        <v>355</v>
      </c>
      <c r="K130" s="17" t="s">
        <v>81</v>
      </c>
      <c r="L130" s="17" t="s">
        <v>284</v>
      </c>
      <c r="N130" s="17" t="s">
        <v>412</v>
      </c>
      <c r="P130" s="17" t="s">
        <v>429</v>
      </c>
    </row>
    <row r="131" spans="1:16" x14ac:dyDescent="0.3">
      <c r="A131" s="17" t="s">
        <v>661</v>
      </c>
      <c r="B131" s="18">
        <v>45934</v>
      </c>
      <c r="C131" s="17" t="s">
        <v>57</v>
      </c>
      <c r="D131" s="17" t="s">
        <v>77</v>
      </c>
      <c r="E131" s="17" t="s">
        <v>345</v>
      </c>
      <c r="F131" s="17" t="s">
        <v>662</v>
      </c>
      <c r="G131" s="17">
        <v>194</v>
      </c>
      <c r="H131" s="17">
        <v>160</v>
      </c>
      <c r="I131" s="17" t="s">
        <v>663</v>
      </c>
      <c r="J131" s="17" t="s">
        <v>184</v>
      </c>
      <c r="K131" s="17" t="s">
        <v>212</v>
      </c>
      <c r="L131" s="17" t="s">
        <v>193</v>
      </c>
      <c r="N131" s="17" t="s">
        <v>613</v>
      </c>
      <c r="P131" s="17" t="s">
        <v>664</v>
      </c>
    </row>
    <row r="132" spans="1:16" x14ac:dyDescent="0.3">
      <c r="A132" s="17" t="s">
        <v>665</v>
      </c>
      <c r="B132" s="17" t="s">
        <v>666</v>
      </c>
      <c r="C132" s="17" t="s">
        <v>225</v>
      </c>
      <c r="D132" s="17" t="s">
        <v>77</v>
      </c>
      <c r="E132" s="17" t="s">
        <v>67</v>
      </c>
      <c r="F132" s="17" t="s">
        <v>250</v>
      </c>
      <c r="G132" s="17">
        <v>138</v>
      </c>
      <c r="I132" s="17">
        <v>19146.740000000002</v>
      </c>
      <c r="J132" s="17" t="s">
        <v>184</v>
      </c>
      <c r="K132" s="17" t="s">
        <v>192</v>
      </c>
      <c r="L132" s="17" t="s">
        <v>186</v>
      </c>
      <c r="P132" s="17" t="s">
        <v>429</v>
      </c>
    </row>
    <row r="133" spans="1:16" x14ac:dyDescent="0.3">
      <c r="A133" s="17" t="s">
        <v>667</v>
      </c>
      <c r="C133" s="17" t="s">
        <v>165</v>
      </c>
      <c r="D133" s="17" t="s">
        <v>249</v>
      </c>
      <c r="E133" s="17" t="s">
        <v>555</v>
      </c>
      <c r="F133" s="17" t="s">
        <v>556</v>
      </c>
      <c r="G133" s="17">
        <v>87</v>
      </c>
      <c r="H133" s="17">
        <v>81</v>
      </c>
      <c r="I133" s="17" t="s">
        <v>668</v>
      </c>
      <c r="J133" s="17" t="s">
        <v>229</v>
      </c>
      <c r="K133" s="17" t="s">
        <v>499</v>
      </c>
      <c r="L133" s="17" t="s">
        <v>63</v>
      </c>
      <c r="M133" s="18">
        <v>45775</v>
      </c>
      <c r="N133" s="18">
        <v>45799</v>
      </c>
      <c r="P133" s="17" t="s">
        <v>170</v>
      </c>
    </row>
    <row r="134" spans="1:16" x14ac:dyDescent="0.3">
      <c r="A134" s="17" t="s">
        <v>669</v>
      </c>
      <c r="B134" s="18">
        <v>46015</v>
      </c>
      <c r="C134" s="17" t="s">
        <v>238</v>
      </c>
      <c r="D134" s="17" t="s">
        <v>226</v>
      </c>
      <c r="E134" s="17" t="s">
        <v>109</v>
      </c>
      <c r="F134" s="17" t="s">
        <v>196</v>
      </c>
      <c r="G134" s="17">
        <v>189</v>
      </c>
      <c r="H134" s="17">
        <v>216</v>
      </c>
      <c r="I134" s="17">
        <v>44857.25</v>
      </c>
      <c r="J134" s="17" t="s">
        <v>191</v>
      </c>
      <c r="K134" s="17" t="s">
        <v>101</v>
      </c>
      <c r="L134" s="17" t="s">
        <v>63</v>
      </c>
      <c r="M134" s="17" t="s">
        <v>670</v>
      </c>
      <c r="N134" s="18">
        <v>46038</v>
      </c>
      <c r="P134" s="17" t="s">
        <v>242</v>
      </c>
    </row>
    <row r="135" spans="1:16" x14ac:dyDescent="0.3">
      <c r="A135" s="17" t="s">
        <v>671</v>
      </c>
      <c r="B135" s="17" t="s">
        <v>672</v>
      </c>
      <c r="C135" s="17" t="s">
        <v>299</v>
      </c>
      <c r="D135" s="17" t="s">
        <v>351</v>
      </c>
      <c r="E135" s="17" t="s">
        <v>538</v>
      </c>
      <c r="F135" s="17" t="s">
        <v>98</v>
      </c>
      <c r="G135" s="17">
        <v>453</v>
      </c>
      <c r="H135" s="17">
        <v>351</v>
      </c>
      <c r="J135" s="17" t="s">
        <v>61</v>
      </c>
      <c r="K135" s="17" t="s">
        <v>251</v>
      </c>
      <c r="L135" s="17" t="s">
        <v>186</v>
      </c>
      <c r="M135" s="18">
        <v>45922</v>
      </c>
      <c r="N135" s="17" t="s">
        <v>673</v>
      </c>
      <c r="P135" s="17" t="s">
        <v>252</v>
      </c>
    </row>
    <row r="136" spans="1:16" x14ac:dyDescent="0.3">
      <c r="A136" s="17" t="s">
        <v>674</v>
      </c>
      <c r="B136" s="17" t="s">
        <v>675</v>
      </c>
      <c r="C136" s="17" t="s">
        <v>238</v>
      </c>
      <c r="D136" s="17" t="s">
        <v>226</v>
      </c>
      <c r="E136" s="17" t="s">
        <v>363</v>
      </c>
      <c r="F136" s="17" t="s">
        <v>608</v>
      </c>
      <c r="G136" s="17">
        <v>288</v>
      </c>
      <c r="H136" s="17">
        <v>232</v>
      </c>
      <c r="I136" s="17" t="s">
        <v>676</v>
      </c>
      <c r="J136" s="17" t="s">
        <v>198</v>
      </c>
      <c r="K136" s="17" t="s">
        <v>261</v>
      </c>
      <c r="L136" s="17" t="s">
        <v>63</v>
      </c>
      <c r="M136" s="17" t="s">
        <v>677</v>
      </c>
      <c r="N136" s="17" t="s">
        <v>678</v>
      </c>
      <c r="O136" s="17" t="s">
        <v>679</v>
      </c>
    </row>
    <row r="137" spans="1:16" x14ac:dyDescent="0.3">
      <c r="A137" s="17" t="s">
        <v>680</v>
      </c>
      <c r="B137" s="18">
        <v>45798</v>
      </c>
      <c r="C137" s="17" t="s">
        <v>107</v>
      </c>
      <c r="D137" s="17" t="s">
        <v>118</v>
      </c>
      <c r="E137" s="17" t="s">
        <v>417</v>
      </c>
      <c r="F137" s="17" t="s">
        <v>218</v>
      </c>
      <c r="G137" s="17">
        <v>118</v>
      </c>
      <c r="H137" s="17">
        <v>101</v>
      </c>
      <c r="I137" s="17">
        <v>19129.439999999999</v>
      </c>
      <c r="K137" s="17" t="s">
        <v>450</v>
      </c>
      <c r="L137" s="17" t="s">
        <v>485</v>
      </c>
      <c r="M137" s="18">
        <v>45807</v>
      </c>
      <c r="N137" s="17" t="s">
        <v>681</v>
      </c>
      <c r="P137" s="17" t="s">
        <v>420</v>
      </c>
    </row>
    <row r="138" spans="1:16" x14ac:dyDescent="0.3">
      <c r="A138" s="17" t="s">
        <v>682</v>
      </c>
      <c r="B138" s="17" t="s">
        <v>146</v>
      </c>
      <c r="C138" s="17" t="s">
        <v>107</v>
      </c>
      <c r="D138" s="17" t="s">
        <v>118</v>
      </c>
      <c r="E138" s="17" t="s">
        <v>683</v>
      </c>
      <c r="F138" s="17" t="s">
        <v>334</v>
      </c>
      <c r="G138" s="17">
        <v>442</v>
      </c>
      <c r="I138" s="17">
        <v>25777.73</v>
      </c>
      <c r="J138" s="17" t="s">
        <v>174</v>
      </c>
      <c r="L138" s="17" t="s">
        <v>113</v>
      </c>
      <c r="P138" s="17" t="s">
        <v>230</v>
      </c>
    </row>
    <row r="139" spans="1:16" x14ac:dyDescent="0.3">
      <c r="A139" s="17" t="s">
        <v>684</v>
      </c>
      <c r="B139" s="18">
        <v>45945</v>
      </c>
      <c r="C139" s="17" t="s">
        <v>318</v>
      </c>
      <c r="D139" s="17" t="s">
        <v>118</v>
      </c>
      <c r="E139" s="17" t="s">
        <v>59</v>
      </c>
      <c r="F139" s="17" t="s">
        <v>282</v>
      </c>
      <c r="G139" s="17">
        <v>55</v>
      </c>
      <c r="H139" s="17">
        <v>51</v>
      </c>
      <c r="I139" s="17" t="s">
        <v>685</v>
      </c>
      <c r="J139" s="17" t="s">
        <v>80</v>
      </c>
      <c r="K139" s="17" t="s">
        <v>212</v>
      </c>
      <c r="L139" s="17" t="s">
        <v>276</v>
      </c>
      <c r="M139" s="18">
        <v>45947</v>
      </c>
      <c r="N139" s="18">
        <v>45966</v>
      </c>
      <c r="O139" s="17" t="s">
        <v>686</v>
      </c>
      <c r="P139" s="17" t="s">
        <v>247</v>
      </c>
    </row>
    <row r="140" spans="1:16" x14ac:dyDescent="0.3">
      <c r="A140" s="17" t="s">
        <v>687</v>
      </c>
      <c r="B140" s="18">
        <v>45981</v>
      </c>
      <c r="C140" s="17" t="s">
        <v>293</v>
      </c>
      <c r="D140" s="17" t="s">
        <v>77</v>
      </c>
      <c r="E140" s="17" t="s">
        <v>59</v>
      </c>
      <c r="F140" s="17" t="s">
        <v>134</v>
      </c>
      <c r="G140" s="17">
        <v>220</v>
      </c>
      <c r="H140" s="17">
        <v>210</v>
      </c>
      <c r="I140" s="17">
        <v>3349.78</v>
      </c>
      <c r="J140" s="17" t="s">
        <v>191</v>
      </c>
      <c r="K140" s="17" t="s">
        <v>288</v>
      </c>
      <c r="L140" s="17" t="s">
        <v>186</v>
      </c>
      <c r="M140" s="17" t="s">
        <v>686</v>
      </c>
      <c r="N140" s="17" t="s">
        <v>277</v>
      </c>
      <c r="O140" s="17" t="s">
        <v>688</v>
      </c>
      <c r="P140" s="17" t="s">
        <v>137</v>
      </c>
    </row>
    <row r="141" spans="1:16" x14ac:dyDescent="0.3">
      <c r="A141" s="17" t="s">
        <v>689</v>
      </c>
      <c r="B141" s="18">
        <v>45900</v>
      </c>
      <c r="C141" s="17" t="s">
        <v>87</v>
      </c>
      <c r="D141" s="17" t="s">
        <v>88</v>
      </c>
      <c r="E141" s="17" t="s">
        <v>363</v>
      </c>
      <c r="F141" s="17" t="s">
        <v>120</v>
      </c>
      <c r="G141" s="17">
        <v>273</v>
      </c>
      <c r="H141" s="17">
        <v>212</v>
      </c>
      <c r="I141" s="17">
        <v>7114.06</v>
      </c>
      <c r="J141" s="17" t="s">
        <v>100</v>
      </c>
      <c r="K141" s="17" t="s">
        <v>199</v>
      </c>
      <c r="L141" s="17" t="s">
        <v>193</v>
      </c>
      <c r="M141" s="18">
        <v>45907</v>
      </c>
      <c r="N141" s="17" t="s">
        <v>690</v>
      </c>
      <c r="P141" s="17" t="s">
        <v>410</v>
      </c>
    </row>
    <row r="142" spans="1:16" x14ac:dyDescent="0.3">
      <c r="A142" s="17" t="s">
        <v>691</v>
      </c>
      <c r="C142" s="17" t="s">
        <v>216</v>
      </c>
      <c r="D142" s="17" t="s">
        <v>88</v>
      </c>
      <c r="E142" s="17" t="s">
        <v>459</v>
      </c>
      <c r="F142" s="17" t="s">
        <v>90</v>
      </c>
      <c r="G142" s="17">
        <v>251</v>
      </c>
      <c r="H142" s="17">
        <v>208</v>
      </c>
      <c r="I142" s="17">
        <v>16555.38</v>
      </c>
      <c r="J142" s="17" t="s">
        <v>143</v>
      </c>
      <c r="K142" s="17" t="s">
        <v>129</v>
      </c>
      <c r="L142" s="17" t="s">
        <v>409</v>
      </c>
      <c r="M142" s="17" t="s">
        <v>618</v>
      </c>
      <c r="N142" s="17" t="s">
        <v>277</v>
      </c>
      <c r="P142" s="17" t="s">
        <v>162</v>
      </c>
    </row>
    <row r="143" spans="1:16" x14ac:dyDescent="0.3">
      <c r="A143" s="17" t="s">
        <v>692</v>
      </c>
      <c r="B143" s="18">
        <v>45851</v>
      </c>
      <c r="C143" s="17" t="s">
        <v>299</v>
      </c>
      <c r="D143" s="17" t="s">
        <v>58</v>
      </c>
      <c r="E143" s="17" t="s">
        <v>273</v>
      </c>
      <c r="F143" s="17" t="s">
        <v>274</v>
      </c>
      <c r="G143" s="17">
        <v>325</v>
      </c>
      <c r="H143" s="17">
        <v>316</v>
      </c>
      <c r="I143" s="17" t="s">
        <v>693</v>
      </c>
      <c r="J143" s="17" t="s">
        <v>61</v>
      </c>
      <c r="L143" s="17" t="s">
        <v>284</v>
      </c>
      <c r="M143" s="17" t="s">
        <v>694</v>
      </c>
      <c r="N143" s="18">
        <v>45870</v>
      </c>
      <c r="P143" s="17" t="s">
        <v>591</v>
      </c>
    </row>
    <row r="144" spans="1:16" x14ac:dyDescent="0.3">
      <c r="A144" s="17" t="s">
        <v>695</v>
      </c>
      <c r="B144" s="17" t="s">
        <v>696</v>
      </c>
      <c r="C144" s="17" t="s">
        <v>133</v>
      </c>
      <c r="D144" s="17" t="s">
        <v>97</v>
      </c>
      <c r="E144" s="17" t="s">
        <v>659</v>
      </c>
      <c r="F144" s="17" t="s">
        <v>468</v>
      </c>
      <c r="G144" s="17">
        <v>180</v>
      </c>
      <c r="H144" s="17">
        <v>152</v>
      </c>
      <c r="I144" s="17" t="s">
        <v>697</v>
      </c>
      <c r="J144" s="17" t="s">
        <v>70</v>
      </c>
      <c r="K144" s="17" t="s">
        <v>636</v>
      </c>
      <c r="L144" s="17" t="s">
        <v>309</v>
      </c>
      <c r="M144" s="17" t="s">
        <v>698</v>
      </c>
      <c r="N144" s="18">
        <v>45720</v>
      </c>
      <c r="P144" s="17" t="s">
        <v>74</v>
      </c>
    </row>
    <row r="145" spans="1:16" x14ac:dyDescent="0.3">
      <c r="A145" s="17" t="s">
        <v>699</v>
      </c>
      <c r="B145" s="18">
        <v>45857</v>
      </c>
      <c r="C145" s="17" t="s">
        <v>57</v>
      </c>
      <c r="D145" s="17" t="s">
        <v>66</v>
      </c>
      <c r="E145" s="17" t="s">
        <v>379</v>
      </c>
      <c r="F145" s="17" t="s">
        <v>158</v>
      </c>
      <c r="G145" s="17">
        <v>86</v>
      </c>
      <c r="H145" s="17">
        <v>118</v>
      </c>
      <c r="I145" s="17" t="s">
        <v>700</v>
      </c>
      <c r="J145" s="17" t="s">
        <v>229</v>
      </c>
      <c r="K145" s="17" t="s">
        <v>288</v>
      </c>
      <c r="L145" s="17" t="s">
        <v>186</v>
      </c>
      <c r="M145" s="17" t="s">
        <v>701</v>
      </c>
      <c r="N145" s="17" t="s">
        <v>702</v>
      </c>
      <c r="O145" s="17" t="s">
        <v>703</v>
      </c>
      <c r="P145" s="17" t="s">
        <v>429</v>
      </c>
    </row>
    <row r="146" spans="1:16" x14ac:dyDescent="0.3">
      <c r="A146" s="17" t="s">
        <v>704</v>
      </c>
      <c r="B146" s="17" t="s">
        <v>705</v>
      </c>
      <c r="C146" s="17" t="s">
        <v>87</v>
      </c>
      <c r="D146" s="17" t="s">
        <v>97</v>
      </c>
      <c r="E146" s="17" t="s">
        <v>67</v>
      </c>
      <c r="F146" s="17" t="s">
        <v>706</v>
      </c>
      <c r="G146" s="17">
        <v>69</v>
      </c>
      <c r="I146" s="17">
        <v>25192.02</v>
      </c>
      <c r="J146" s="17" t="s">
        <v>260</v>
      </c>
      <c r="K146" s="17" t="s">
        <v>707</v>
      </c>
      <c r="L146" s="17" t="s">
        <v>205</v>
      </c>
      <c r="P146" s="17" t="s">
        <v>84</v>
      </c>
    </row>
    <row r="147" spans="1:16" x14ac:dyDescent="0.3">
      <c r="A147" s="17" t="s">
        <v>708</v>
      </c>
      <c r="B147" s="17" t="s">
        <v>262</v>
      </c>
      <c r="C147" s="17" t="s">
        <v>286</v>
      </c>
      <c r="D147" s="17" t="s">
        <v>226</v>
      </c>
      <c r="E147" s="17" t="s">
        <v>78</v>
      </c>
      <c r="F147" s="17" t="s">
        <v>79</v>
      </c>
      <c r="G147" s="17">
        <v>424</v>
      </c>
      <c r="H147" s="17">
        <v>296</v>
      </c>
      <c r="I147" s="17">
        <v>28765.47</v>
      </c>
      <c r="J147" s="17" t="s">
        <v>355</v>
      </c>
      <c r="K147" s="17" t="s">
        <v>175</v>
      </c>
      <c r="L147" s="17" t="s">
        <v>113</v>
      </c>
      <c r="M147" s="18">
        <v>45700</v>
      </c>
      <c r="N147" s="18">
        <v>45728</v>
      </c>
      <c r="P147" s="17" t="s">
        <v>310</v>
      </c>
    </row>
    <row r="148" spans="1:16" x14ac:dyDescent="0.3">
      <c r="A148" s="17" t="s">
        <v>709</v>
      </c>
      <c r="C148" s="17" t="s">
        <v>147</v>
      </c>
      <c r="D148" s="17" t="s">
        <v>266</v>
      </c>
      <c r="E148" s="17" t="s">
        <v>555</v>
      </c>
      <c r="F148" s="17" t="s">
        <v>359</v>
      </c>
      <c r="G148" s="17">
        <v>0</v>
      </c>
      <c r="H148" s="17">
        <v>44</v>
      </c>
      <c r="I148" s="17">
        <v>22122.45</v>
      </c>
      <c r="J148" s="17" t="s">
        <v>91</v>
      </c>
      <c r="K148" s="17" t="s">
        <v>251</v>
      </c>
      <c r="L148" s="17" t="s">
        <v>82</v>
      </c>
      <c r="M148" s="17" t="s">
        <v>296</v>
      </c>
      <c r="N148" s="17" t="s">
        <v>710</v>
      </c>
      <c r="P148" s="17" t="s">
        <v>591</v>
      </c>
    </row>
    <row r="149" spans="1:16" x14ac:dyDescent="0.3">
      <c r="A149" s="17" t="s">
        <v>711</v>
      </c>
      <c r="B149" s="17" t="s">
        <v>645</v>
      </c>
      <c r="C149" s="17" t="s">
        <v>117</v>
      </c>
      <c r="D149" s="17" t="s">
        <v>118</v>
      </c>
      <c r="E149" s="17" t="s">
        <v>59</v>
      </c>
      <c r="F149" s="17" t="s">
        <v>712</v>
      </c>
      <c r="G149" s="17">
        <v>376</v>
      </c>
      <c r="H149" s="17">
        <v>284</v>
      </c>
      <c r="I149" s="17" t="s">
        <v>713</v>
      </c>
      <c r="J149" s="17" t="s">
        <v>160</v>
      </c>
      <c r="K149" s="17" t="s">
        <v>212</v>
      </c>
      <c r="L149" s="17" t="s">
        <v>63</v>
      </c>
      <c r="M149" s="17" t="s">
        <v>714</v>
      </c>
      <c r="N149" s="17" t="s">
        <v>715</v>
      </c>
      <c r="O149" s="17" t="s">
        <v>716</v>
      </c>
      <c r="P149" s="17" t="s">
        <v>170</v>
      </c>
    </row>
    <row r="150" spans="1:16" x14ac:dyDescent="0.3">
      <c r="A150" s="17" t="s">
        <v>717</v>
      </c>
      <c r="B150" s="17" t="s">
        <v>718</v>
      </c>
      <c r="C150" s="17" t="s">
        <v>332</v>
      </c>
      <c r="D150" s="17" t="s">
        <v>77</v>
      </c>
      <c r="E150" s="17" t="s">
        <v>443</v>
      </c>
      <c r="F150" s="17" t="s">
        <v>287</v>
      </c>
      <c r="G150" s="17">
        <v>397</v>
      </c>
      <c r="H150" s="17">
        <v>320</v>
      </c>
      <c r="I150" s="17" t="s">
        <v>719</v>
      </c>
      <c r="J150" s="17" t="s">
        <v>303</v>
      </c>
      <c r="K150" s="17" t="s">
        <v>81</v>
      </c>
      <c r="L150" s="17" t="s">
        <v>485</v>
      </c>
      <c r="M150" s="17" t="s">
        <v>220</v>
      </c>
      <c r="N150" s="17" t="s">
        <v>720</v>
      </c>
      <c r="P150" s="17" t="s">
        <v>177</v>
      </c>
    </row>
    <row r="151" spans="1:16" x14ac:dyDescent="0.3">
      <c r="A151" s="17" t="s">
        <v>721</v>
      </c>
      <c r="B151" s="18">
        <v>45956</v>
      </c>
      <c r="C151" s="17" t="s">
        <v>107</v>
      </c>
      <c r="D151" s="17" t="s">
        <v>118</v>
      </c>
      <c r="E151" s="17" t="s">
        <v>245</v>
      </c>
      <c r="F151" s="17" t="s">
        <v>282</v>
      </c>
      <c r="G151" s="17">
        <v>52</v>
      </c>
      <c r="H151" s="17">
        <v>39</v>
      </c>
      <c r="I151" s="17" t="s">
        <v>722</v>
      </c>
      <c r="J151" s="17" t="s">
        <v>143</v>
      </c>
      <c r="K151" s="17" t="s">
        <v>81</v>
      </c>
      <c r="L151" s="17" t="s">
        <v>113</v>
      </c>
      <c r="M151" s="17" t="s">
        <v>447</v>
      </c>
      <c r="N151" s="18">
        <v>45992</v>
      </c>
      <c r="P151" s="17" t="s">
        <v>236</v>
      </c>
    </row>
    <row r="152" spans="1:16" x14ac:dyDescent="0.3">
      <c r="A152" s="17" t="s">
        <v>723</v>
      </c>
      <c r="B152" s="18">
        <v>45685</v>
      </c>
      <c r="C152" s="17" t="s">
        <v>165</v>
      </c>
      <c r="D152" s="17" t="s">
        <v>156</v>
      </c>
      <c r="E152" s="17" t="s">
        <v>597</v>
      </c>
      <c r="F152" s="17" t="s">
        <v>724</v>
      </c>
      <c r="G152" s="17">
        <v>281</v>
      </c>
      <c r="H152" s="17">
        <v>255</v>
      </c>
      <c r="I152" s="17" t="s">
        <v>725</v>
      </c>
      <c r="J152" s="17" t="s">
        <v>100</v>
      </c>
      <c r="K152" s="17" t="s">
        <v>251</v>
      </c>
      <c r="L152" s="17" t="s">
        <v>93</v>
      </c>
      <c r="M152" s="18">
        <v>45692</v>
      </c>
      <c r="N152" s="18">
        <v>45711</v>
      </c>
      <c r="P152" s="17" t="s">
        <v>646</v>
      </c>
    </row>
    <row r="153" spans="1:16" x14ac:dyDescent="0.3">
      <c r="A153" s="17" t="s">
        <v>726</v>
      </c>
      <c r="B153" s="17" t="s">
        <v>505</v>
      </c>
      <c r="C153" s="17" t="s">
        <v>518</v>
      </c>
      <c r="D153" s="17" t="s">
        <v>189</v>
      </c>
      <c r="E153" s="17" t="s">
        <v>400</v>
      </c>
      <c r="F153" s="17" t="s">
        <v>134</v>
      </c>
      <c r="G153" s="17">
        <v>348</v>
      </c>
      <c r="H153" s="17">
        <v>263</v>
      </c>
      <c r="I153" s="17">
        <v>15601.94</v>
      </c>
      <c r="J153" s="17" t="s">
        <v>100</v>
      </c>
      <c r="K153" s="17" t="s">
        <v>288</v>
      </c>
      <c r="L153" s="17" t="s">
        <v>205</v>
      </c>
      <c r="M153" s="17" t="s">
        <v>522</v>
      </c>
      <c r="N153" s="17" t="s">
        <v>727</v>
      </c>
      <c r="O153" s="17" t="s">
        <v>728</v>
      </c>
      <c r="P153" s="17" t="s">
        <v>729</v>
      </c>
    </row>
    <row r="154" spans="1:16" x14ac:dyDescent="0.3">
      <c r="A154" s="17" t="s">
        <v>730</v>
      </c>
      <c r="B154" s="18">
        <v>45827</v>
      </c>
      <c r="C154" s="17" t="s">
        <v>57</v>
      </c>
      <c r="D154" s="17" t="s">
        <v>58</v>
      </c>
      <c r="E154" s="17" t="s">
        <v>683</v>
      </c>
      <c r="F154" s="17" t="s">
        <v>258</v>
      </c>
      <c r="G154" s="17">
        <v>284</v>
      </c>
      <c r="H154" s="17">
        <v>239</v>
      </c>
      <c r="I154" s="17">
        <v>32887.07</v>
      </c>
      <c r="J154" s="17" t="s">
        <v>347</v>
      </c>
      <c r="K154" s="17" t="s">
        <v>81</v>
      </c>
      <c r="L154" s="17" t="s">
        <v>82</v>
      </c>
      <c r="M154" s="17" t="s">
        <v>731</v>
      </c>
      <c r="N154" s="18">
        <v>45857</v>
      </c>
      <c r="P154" s="17" t="s">
        <v>591</v>
      </c>
    </row>
    <row r="155" spans="1:16" x14ac:dyDescent="0.3">
      <c r="A155" s="17" t="s">
        <v>732</v>
      </c>
      <c r="B155" s="17" t="s">
        <v>733</v>
      </c>
      <c r="C155" s="17" t="s">
        <v>299</v>
      </c>
      <c r="D155" s="17" t="s">
        <v>333</v>
      </c>
      <c r="E155" s="17" t="s">
        <v>443</v>
      </c>
      <c r="F155" s="17" t="s">
        <v>90</v>
      </c>
      <c r="G155" s="17">
        <v>448</v>
      </c>
      <c r="I155" s="17" t="s">
        <v>734</v>
      </c>
      <c r="J155" s="17" t="s">
        <v>229</v>
      </c>
      <c r="K155" s="17" t="s">
        <v>408</v>
      </c>
      <c r="L155" s="17" t="s">
        <v>246</v>
      </c>
      <c r="P155" s="17" t="s">
        <v>236</v>
      </c>
    </row>
    <row r="156" spans="1:16" x14ac:dyDescent="0.3">
      <c r="A156" s="17" t="s">
        <v>735</v>
      </c>
      <c r="B156" s="17" t="s">
        <v>560</v>
      </c>
      <c r="C156" s="17" t="s">
        <v>225</v>
      </c>
      <c r="D156" s="17" t="s">
        <v>118</v>
      </c>
      <c r="E156" s="17" t="s">
        <v>78</v>
      </c>
      <c r="F156" s="17" t="s">
        <v>320</v>
      </c>
      <c r="G156" s="17">
        <v>49</v>
      </c>
      <c r="H156" s="17">
        <v>44</v>
      </c>
      <c r="I156" s="17">
        <v>39290.660000000003</v>
      </c>
      <c r="J156" s="17" t="s">
        <v>184</v>
      </c>
      <c r="K156" s="17" t="s">
        <v>636</v>
      </c>
      <c r="L156" s="17" t="s">
        <v>309</v>
      </c>
      <c r="M156" s="17" t="s">
        <v>736</v>
      </c>
      <c r="N156" s="17" t="s">
        <v>737</v>
      </c>
      <c r="P156" s="17" t="s">
        <v>738</v>
      </c>
    </row>
    <row r="157" spans="1:16" x14ac:dyDescent="0.3">
      <c r="A157" s="17" t="s">
        <v>739</v>
      </c>
      <c r="C157" s="17" t="s">
        <v>358</v>
      </c>
      <c r="D157" s="17" t="s">
        <v>97</v>
      </c>
      <c r="E157" s="17" t="s">
        <v>538</v>
      </c>
      <c r="F157" s="17" t="s">
        <v>196</v>
      </c>
      <c r="G157" s="17">
        <v>396</v>
      </c>
      <c r="H157" s="17">
        <v>391</v>
      </c>
      <c r="I157" s="17" t="s">
        <v>740</v>
      </c>
      <c r="J157" s="17" t="s">
        <v>191</v>
      </c>
      <c r="K157" s="17" t="s">
        <v>112</v>
      </c>
      <c r="L157" s="17" t="s">
        <v>102</v>
      </c>
      <c r="M157" s="17" t="s">
        <v>741</v>
      </c>
      <c r="N157" s="17" t="s">
        <v>114</v>
      </c>
      <c r="P157" s="17" t="s">
        <v>230</v>
      </c>
    </row>
    <row r="158" spans="1:16" x14ac:dyDescent="0.3">
      <c r="A158" s="17" t="s">
        <v>742</v>
      </c>
      <c r="B158" s="17" t="s">
        <v>200</v>
      </c>
      <c r="C158" s="17" t="s">
        <v>127</v>
      </c>
      <c r="D158" s="17" t="s">
        <v>97</v>
      </c>
      <c r="E158" s="17" t="s">
        <v>520</v>
      </c>
      <c r="F158" s="17" t="s">
        <v>359</v>
      </c>
      <c r="G158" s="17">
        <v>491</v>
      </c>
      <c r="I158" s="17" t="s">
        <v>743</v>
      </c>
      <c r="J158" s="17" t="s">
        <v>61</v>
      </c>
      <c r="K158" s="17" t="s">
        <v>192</v>
      </c>
      <c r="L158" s="17" t="s">
        <v>151</v>
      </c>
    </row>
    <row r="159" spans="1:16" x14ac:dyDescent="0.3">
      <c r="A159" s="17" t="s">
        <v>744</v>
      </c>
      <c r="B159" s="17" t="s">
        <v>745</v>
      </c>
      <c r="C159" s="17" t="s">
        <v>117</v>
      </c>
      <c r="D159" s="17" t="s">
        <v>266</v>
      </c>
      <c r="E159" s="17" t="s">
        <v>257</v>
      </c>
      <c r="F159" s="17" t="s">
        <v>334</v>
      </c>
      <c r="G159" s="17">
        <v>0</v>
      </c>
      <c r="H159" s="17">
        <v>354</v>
      </c>
      <c r="I159" s="17">
        <v>43322.27</v>
      </c>
      <c r="J159" s="17" t="s">
        <v>347</v>
      </c>
      <c r="K159" s="17" t="s">
        <v>71</v>
      </c>
      <c r="L159" s="17" t="s">
        <v>284</v>
      </c>
      <c r="M159" s="17" t="s">
        <v>746</v>
      </c>
      <c r="N159" s="17" t="s">
        <v>747</v>
      </c>
      <c r="O159" s="17" t="s">
        <v>748</v>
      </c>
      <c r="P159" s="17" t="s">
        <v>144</v>
      </c>
    </row>
    <row r="160" spans="1:16" x14ac:dyDescent="0.3">
      <c r="A160" s="17" t="s">
        <v>749</v>
      </c>
      <c r="B160" s="18">
        <v>45704</v>
      </c>
      <c r="C160" s="17" t="s">
        <v>489</v>
      </c>
      <c r="D160" s="17" t="s">
        <v>118</v>
      </c>
      <c r="E160" s="17" t="s">
        <v>157</v>
      </c>
      <c r="F160" s="17" t="s">
        <v>158</v>
      </c>
      <c r="G160" s="17">
        <v>51</v>
      </c>
      <c r="H160" s="17">
        <v>41</v>
      </c>
      <c r="I160" s="17" t="s">
        <v>750</v>
      </c>
      <c r="J160" s="17" t="s">
        <v>303</v>
      </c>
      <c r="K160" s="17" t="s">
        <v>81</v>
      </c>
      <c r="L160" s="17" t="s">
        <v>63</v>
      </c>
      <c r="M160" s="18">
        <v>45711</v>
      </c>
      <c r="N160" s="17" t="s">
        <v>751</v>
      </c>
      <c r="P160" s="17" t="s">
        <v>242</v>
      </c>
    </row>
    <row r="161" spans="1:16" x14ac:dyDescent="0.3">
      <c r="A161" s="17" t="s">
        <v>752</v>
      </c>
      <c r="B161" s="17" t="s">
        <v>621</v>
      </c>
      <c r="C161" s="17" t="s">
        <v>753</v>
      </c>
      <c r="D161" s="17" t="s">
        <v>189</v>
      </c>
      <c r="E161" s="17" t="s">
        <v>128</v>
      </c>
      <c r="F161" s="17" t="s">
        <v>712</v>
      </c>
      <c r="G161" s="17">
        <v>316</v>
      </c>
      <c r="H161" s="17">
        <v>277</v>
      </c>
      <c r="I161" s="17" t="s">
        <v>754</v>
      </c>
      <c r="J161" s="17" t="s">
        <v>355</v>
      </c>
      <c r="K161" s="17" t="s">
        <v>499</v>
      </c>
      <c r="L161" s="17" t="s">
        <v>63</v>
      </c>
      <c r="M161" s="17" t="s">
        <v>755</v>
      </c>
      <c r="N161" s="18">
        <v>45918</v>
      </c>
      <c r="P161" s="17" t="s">
        <v>74</v>
      </c>
    </row>
    <row r="162" spans="1:16" x14ac:dyDescent="0.3">
      <c r="A162" s="17" t="s">
        <v>756</v>
      </c>
      <c r="B162" s="17" t="s">
        <v>757</v>
      </c>
      <c r="C162" s="17" t="s">
        <v>476</v>
      </c>
      <c r="D162" s="17" t="s">
        <v>66</v>
      </c>
      <c r="E162" s="17" t="s">
        <v>59</v>
      </c>
      <c r="F162" s="17" t="s">
        <v>172</v>
      </c>
      <c r="G162" s="17">
        <v>388</v>
      </c>
      <c r="H162" s="17">
        <v>282</v>
      </c>
      <c r="I162" s="17" t="s">
        <v>758</v>
      </c>
      <c r="J162" s="17" t="s">
        <v>303</v>
      </c>
      <c r="K162" s="17" t="s">
        <v>261</v>
      </c>
      <c r="L162" s="17" t="s">
        <v>246</v>
      </c>
      <c r="N162" s="17" t="s">
        <v>640</v>
      </c>
      <c r="O162" s="17" t="s">
        <v>759</v>
      </c>
      <c r="P162" s="17" t="s">
        <v>170</v>
      </c>
    </row>
    <row r="163" spans="1:16" x14ac:dyDescent="0.3">
      <c r="A163" s="17" t="s">
        <v>760</v>
      </c>
      <c r="B163" s="17" t="s">
        <v>761</v>
      </c>
      <c r="C163" s="17" t="s">
        <v>299</v>
      </c>
      <c r="D163" s="17" t="s">
        <v>333</v>
      </c>
      <c r="E163" s="17" t="s">
        <v>227</v>
      </c>
      <c r="F163" s="17" t="s">
        <v>228</v>
      </c>
      <c r="G163" s="17">
        <v>319</v>
      </c>
      <c r="H163" s="17">
        <v>283</v>
      </c>
      <c r="I163" s="17">
        <v>22238.82</v>
      </c>
      <c r="J163" s="17" t="s">
        <v>143</v>
      </c>
      <c r="K163" s="17" t="s">
        <v>499</v>
      </c>
      <c r="L163" s="17" t="s">
        <v>392</v>
      </c>
      <c r="M163" s="17" t="s">
        <v>762</v>
      </c>
      <c r="P163" s="17" t="s">
        <v>269</v>
      </c>
    </row>
    <row r="164" spans="1:16" x14ac:dyDescent="0.3">
      <c r="A164" s="17" t="s">
        <v>763</v>
      </c>
      <c r="B164" s="17" t="s">
        <v>505</v>
      </c>
      <c r="C164" s="17" t="s">
        <v>57</v>
      </c>
      <c r="D164" s="17" t="s">
        <v>351</v>
      </c>
      <c r="E164" s="17" t="s">
        <v>391</v>
      </c>
      <c r="F164" s="17" t="s">
        <v>196</v>
      </c>
      <c r="G164" s="17">
        <v>179</v>
      </c>
      <c r="H164" s="17">
        <v>176</v>
      </c>
      <c r="I164" s="17" t="s">
        <v>764</v>
      </c>
      <c r="J164" s="17" t="s">
        <v>80</v>
      </c>
      <c r="K164" s="17" t="s">
        <v>261</v>
      </c>
      <c r="L164" s="17" t="s">
        <v>113</v>
      </c>
      <c r="M164" s="17" t="s">
        <v>650</v>
      </c>
      <c r="N164" s="18">
        <v>45842</v>
      </c>
      <c r="O164" s="17" t="s">
        <v>356</v>
      </c>
      <c r="P164" s="17" t="s">
        <v>236</v>
      </c>
    </row>
    <row r="165" spans="1:16" x14ac:dyDescent="0.3">
      <c r="A165" s="17" t="s">
        <v>765</v>
      </c>
      <c r="B165" s="17" t="s">
        <v>766</v>
      </c>
      <c r="C165" s="17" t="s">
        <v>318</v>
      </c>
      <c r="D165" s="17" t="s">
        <v>108</v>
      </c>
      <c r="E165" s="17" t="s">
        <v>555</v>
      </c>
      <c r="F165" s="17" t="s">
        <v>141</v>
      </c>
      <c r="G165" s="17">
        <v>297</v>
      </c>
      <c r="H165" s="17">
        <v>218</v>
      </c>
      <c r="I165" s="17" t="s">
        <v>767</v>
      </c>
      <c r="J165" s="17" t="s">
        <v>355</v>
      </c>
      <c r="K165" s="17" t="s">
        <v>636</v>
      </c>
      <c r="L165" s="17" t="s">
        <v>82</v>
      </c>
      <c r="M165" s="18">
        <v>45678</v>
      </c>
      <c r="P165" s="17" t="s">
        <v>420</v>
      </c>
    </row>
    <row r="166" spans="1:16" x14ac:dyDescent="0.3">
      <c r="A166" s="17" t="s">
        <v>768</v>
      </c>
      <c r="C166" s="17" t="s">
        <v>155</v>
      </c>
      <c r="D166" s="17" t="s">
        <v>249</v>
      </c>
      <c r="E166" s="17" t="s">
        <v>417</v>
      </c>
      <c r="F166" s="17" t="s">
        <v>218</v>
      </c>
      <c r="G166" s="17">
        <v>425</v>
      </c>
      <c r="H166" s="17">
        <v>424</v>
      </c>
      <c r="J166" s="17" t="s">
        <v>191</v>
      </c>
      <c r="K166" s="17" t="s">
        <v>71</v>
      </c>
      <c r="L166" s="17" t="s">
        <v>63</v>
      </c>
      <c r="M166" s="18">
        <v>45817</v>
      </c>
      <c r="N166" s="18">
        <v>45836</v>
      </c>
      <c r="O166" s="18">
        <v>45843</v>
      </c>
      <c r="P166" s="17" t="s">
        <v>115</v>
      </c>
    </row>
    <row r="167" spans="1:16" x14ac:dyDescent="0.3">
      <c r="A167" s="17" t="s">
        <v>769</v>
      </c>
      <c r="B167" s="17" t="s">
        <v>770</v>
      </c>
      <c r="C167" s="17" t="s">
        <v>65</v>
      </c>
      <c r="D167" s="17" t="s">
        <v>77</v>
      </c>
      <c r="E167" s="17" t="s">
        <v>140</v>
      </c>
      <c r="F167" s="17" t="s">
        <v>141</v>
      </c>
      <c r="G167" s="17">
        <v>282</v>
      </c>
      <c r="J167" s="17" t="s">
        <v>61</v>
      </c>
      <c r="K167" s="17" t="s">
        <v>192</v>
      </c>
      <c r="L167" s="17" t="s">
        <v>122</v>
      </c>
      <c r="P167" s="17" t="s">
        <v>385</v>
      </c>
    </row>
    <row r="168" spans="1:16" x14ac:dyDescent="0.3">
      <c r="A168" s="17" t="s">
        <v>771</v>
      </c>
      <c r="B168" s="17" t="s">
        <v>772</v>
      </c>
      <c r="C168" s="17" t="s">
        <v>232</v>
      </c>
      <c r="D168" s="17" t="s">
        <v>97</v>
      </c>
      <c r="E168" s="17" t="s">
        <v>59</v>
      </c>
      <c r="F168" s="17" t="s">
        <v>282</v>
      </c>
      <c r="G168" s="17">
        <v>295</v>
      </c>
      <c r="H168" s="17">
        <v>287</v>
      </c>
      <c r="I168" s="17" t="s">
        <v>773</v>
      </c>
      <c r="J168" s="17" t="s">
        <v>100</v>
      </c>
      <c r="K168" s="17" t="s">
        <v>212</v>
      </c>
      <c r="L168" s="17" t="s">
        <v>284</v>
      </c>
      <c r="N168" s="17" t="s">
        <v>774</v>
      </c>
      <c r="O168" s="17" t="s">
        <v>775</v>
      </c>
      <c r="P168" s="17" t="s">
        <v>207</v>
      </c>
    </row>
    <row r="169" spans="1:16" x14ac:dyDescent="0.3">
      <c r="A169" s="17" t="s">
        <v>776</v>
      </c>
      <c r="C169" s="17" t="s">
        <v>358</v>
      </c>
      <c r="D169" s="17" t="s">
        <v>181</v>
      </c>
      <c r="E169" s="17" t="s">
        <v>338</v>
      </c>
      <c r="F169" s="17" t="s">
        <v>339</v>
      </c>
      <c r="G169" s="17">
        <v>277</v>
      </c>
      <c r="H169" s="17">
        <v>213</v>
      </c>
      <c r="I169" s="17" t="s">
        <v>777</v>
      </c>
      <c r="J169" s="17" t="s">
        <v>61</v>
      </c>
      <c r="K169" s="17" t="s">
        <v>129</v>
      </c>
      <c r="L169" s="17" t="s">
        <v>151</v>
      </c>
      <c r="N169" s="17" t="s">
        <v>356</v>
      </c>
      <c r="P169" s="17" t="s">
        <v>278</v>
      </c>
    </row>
    <row r="170" spans="1:16" x14ac:dyDescent="0.3">
      <c r="A170" s="17" t="s">
        <v>778</v>
      </c>
      <c r="B170" s="17" t="s">
        <v>779</v>
      </c>
      <c r="C170" s="17" t="s">
        <v>232</v>
      </c>
      <c r="D170" s="17" t="s">
        <v>88</v>
      </c>
      <c r="E170" s="17" t="s">
        <v>514</v>
      </c>
      <c r="F170" s="17" t="s">
        <v>339</v>
      </c>
      <c r="G170" s="17">
        <v>258</v>
      </c>
      <c r="I170" s="17" t="s">
        <v>780</v>
      </c>
      <c r="J170" s="17" t="s">
        <v>184</v>
      </c>
      <c r="K170" s="17" t="s">
        <v>192</v>
      </c>
      <c r="L170" s="17" t="s">
        <v>409</v>
      </c>
      <c r="P170" s="17" t="s">
        <v>201</v>
      </c>
    </row>
    <row r="171" spans="1:16" x14ac:dyDescent="0.3">
      <c r="A171" s="17" t="s">
        <v>781</v>
      </c>
      <c r="C171" s="17" t="s">
        <v>299</v>
      </c>
      <c r="D171" s="17" t="s">
        <v>58</v>
      </c>
      <c r="E171" s="17" t="s">
        <v>227</v>
      </c>
      <c r="F171" s="17" t="s">
        <v>706</v>
      </c>
      <c r="G171" s="17">
        <v>441</v>
      </c>
      <c r="I171" s="17" t="s">
        <v>782</v>
      </c>
      <c r="J171" s="17" t="s">
        <v>70</v>
      </c>
      <c r="K171" s="17" t="s">
        <v>192</v>
      </c>
      <c r="L171" s="17" t="s">
        <v>239</v>
      </c>
      <c r="P171" s="17" t="s">
        <v>315</v>
      </c>
    </row>
    <row r="172" spans="1:16" x14ac:dyDescent="0.3">
      <c r="A172" s="17" t="s">
        <v>783</v>
      </c>
      <c r="C172" s="17" t="s">
        <v>155</v>
      </c>
      <c r="D172" s="17" t="s">
        <v>249</v>
      </c>
      <c r="E172" s="17" t="s">
        <v>227</v>
      </c>
      <c r="F172" s="17" t="s">
        <v>250</v>
      </c>
      <c r="H172" s="17">
        <v>13</v>
      </c>
      <c r="I172" s="17">
        <v>21978.55</v>
      </c>
      <c r="J172" s="17" t="s">
        <v>260</v>
      </c>
      <c r="K172" s="17" t="s">
        <v>101</v>
      </c>
      <c r="L172" s="17" t="s">
        <v>309</v>
      </c>
      <c r="N172" s="17" t="s">
        <v>784</v>
      </c>
      <c r="P172" s="17" t="s">
        <v>104</v>
      </c>
    </row>
    <row r="173" spans="1:16" x14ac:dyDescent="0.3">
      <c r="A173" s="17" t="s">
        <v>785</v>
      </c>
      <c r="C173" s="17" t="s">
        <v>255</v>
      </c>
      <c r="D173" s="17" t="s">
        <v>226</v>
      </c>
      <c r="E173" s="17" t="s">
        <v>319</v>
      </c>
      <c r="F173" s="17" t="s">
        <v>196</v>
      </c>
      <c r="G173" s="17">
        <v>365</v>
      </c>
      <c r="I173" s="17" t="s">
        <v>786</v>
      </c>
      <c r="J173" s="17" t="s">
        <v>80</v>
      </c>
      <c r="K173" s="17" t="s">
        <v>408</v>
      </c>
      <c r="L173" s="17" t="s">
        <v>276</v>
      </c>
      <c r="P173" s="17" t="s">
        <v>315</v>
      </c>
    </row>
    <row r="174" spans="1:16" x14ac:dyDescent="0.3">
      <c r="A174" s="17" t="s">
        <v>787</v>
      </c>
      <c r="B174" s="17" t="s">
        <v>788</v>
      </c>
      <c r="C174" s="17" t="s">
        <v>286</v>
      </c>
      <c r="D174" s="17" t="s">
        <v>329</v>
      </c>
      <c r="E174" s="17" t="s">
        <v>67</v>
      </c>
      <c r="F174" s="17" t="s">
        <v>68</v>
      </c>
      <c r="G174" s="17">
        <v>220</v>
      </c>
      <c r="H174" s="17">
        <v>173</v>
      </c>
      <c r="I174" s="17">
        <v>7662.74</v>
      </c>
      <c r="J174" s="17" t="s">
        <v>184</v>
      </c>
      <c r="K174" s="17" t="s">
        <v>499</v>
      </c>
      <c r="L174" s="17" t="s">
        <v>151</v>
      </c>
      <c r="M174" s="18">
        <v>45673</v>
      </c>
      <c r="P174" s="17" t="s">
        <v>162</v>
      </c>
    </row>
    <row r="175" spans="1:16" x14ac:dyDescent="0.3">
      <c r="A175" s="17" t="s">
        <v>789</v>
      </c>
      <c r="B175" s="17" t="s">
        <v>790</v>
      </c>
      <c r="C175" s="17" t="s">
        <v>117</v>
      </c>
      <c r="D175" s="17" t="s">
        <v>118</v>
      </c>
      <c r="E175" s="17" t="s">
        <v>345</v>
      </c>
      <c r="F175" s="17" t="s">
        <v>662</v>
      </c>
      <c r="G175" s="17">
        <v>138</v>
      </c>
      <c r="H175" s="17">
        <v>104</v>
      </c>
      <c r="I175" s="17">
        <v>23803.39</v>
      </c>
      <c r="J175" s="17" t="s">
        <v>198</v>
      </c>
      <c r="K175" s="17" t="s">
        <v>288</v>
      </c>
      <c r="L175" s="17" t="s">
        <v>309</v>
      </c>
      <c r="M175" s="17" t="s">
        <v>241</v>
      </c>
      <c r="O175" s="17" t="s">
        <v>415</v>
      </c>
      <c r="P175" s="17" t="s">
        <v>263</v>
      </c>
    </row>
    <row r="176" spans="1:16" x14ac:dyDescent="0.3">
      <c r="A176" s="17" t="s">
        <v>791</v>
      </c>
      <c r="B176" s="17" t="s">
        <v>792</v>
      </c>
      <c r="C176" s="17" t="s">
        <v>155</v>
      </c>
      <c r="D176" s="17" t="s">
        <v>249</v>
      </c>
      <c r="E176" s="17" t="s">
        <v>472</v>
      </c>
      <c r="F176" s="17" t="s">
        <v>444</v>
      </c>
      <c r="G176" s="17">
        <v>152</v>
      </c>
      <c r="I176" s="17" t="s">
        <v>793</v>
      </c>
      <c r="J176" s="17" t="s">
        <v>184</v>
      </c>
      <c r="K176" s="17" t="s">
        <v>62</v>
      </c>
      <c r="L176" s="17" t="s">
        <v>63</v>
      </c>
    </row>
    <row r="177" spans="1:16" x14ac:dyDescent="0.3">
      <c r="A177" s="17" t="s">
        <v>794</v>
      </c>
      <c r="B177" s="18">
        <v>45830</v>
      </c>
      <c r="C177" s="17" t="s">
        <v>155</v>
      </c>
      <c r="D177" s="17" t="s">
        <v>156</v>
      </c>
      <c r="E177" s="17" t="s">
        <v>210</v>
      </c>
      <c r="F177" s="17" t="s">
        <v>427</v>
      </c>
      <c r="G177" s="17">
        <v>-285</v>
      </c>
      <c r="H177" s="17">
        <v>319</v>
      </c>
      <c r="I177" s="17">
        <v>18594.509999999998</v>
      </c>
      <c r="J177" s="17" t="s">
        <v>303</v>
      </c>
      <c r="K177" s="17" t="s">
        <v>71</v>
      </c>
      <c r="L177" s="17" t="s">
        <v>186</v>
      </c>
      <c r="M177" s="17" t="s">
        <v>795</v>
      </c>
      <c r="N177" s="18">
        <v>45847</v>
      </c>
      <c r="O177" s="17" t="s">
        <v>796</v>
      </c>
      <c r="P177" s="17" t="s">
        <v>236</v>
      </c>
    </row>
    <row r="178" spans="1:16" x14ac:dyDescent="0.3">
      <c r="A178" s="17" t="s">
        <v>797</v>
      </c>
      <c r="B178" s="18">
        <v>45897</v>
      </c>
      <c r="C178" s="17" t="s">
        <v>358</v>
      </c>
      <c r="D178" s="17" t="s">
        <v>77</v>
      </c>
      <c r="E178" s="17" t="s">
        <v>128</v>
      </c>
      <c r="F178" s="17" t="s">
        <v>282</v>
      </c>
      <c r="G178" s="17">
        <v>477</v>
      </c>
      <c r="H178" s="17">
        <v>432</v>
      </c>
      <c r="I178" s="17" t="s">
        <v>798</v>
      </c>
      <c r="J178" s="17" t="s">
        <v>80</v>
      </c>
      <c r="K178" s="17" t="s">
        <v>261</v>
      </c>
      <c r="L178" s="17" t="s">
        <v>284</v>
      </c>
      <c r="M178" s="17" t="s">
        <v>799</v>
      </c>
      <c r="N178" s="18">
        <v>45916</v>
      </c>
      <c r="O178" s="17" t="s">
        <v>800</v>
      </c>
    </row>
    <row r="179" spans="1:16" x14ac:dyDescent="0.3">
      <c r="A179" s="17" t="s">
        <v>801</v>
      </c>
      <c r="B179" s="17" t="s">
        <v>802</v>
      </c>
      <c r="C179" s="17" t="s">
        <v>286</v>
      </c>
      <c r="D179" s="17" t="s">
        <v>226</v>
      </c>
      <c r="E179" s="17" t="s">
        <v>166</v>
      </c>
      <c r="F179" s="17" t="s">
        <v>120</v>
      </c>
      <c r="G179" s="17">
        <v>464</v>
      </c>
      <c r="H179" s="17">
        <v>324</v>
      </c>
      <c r="I179" s="17">
        <v>1846.93</v>
      </c>
      <c r="J179" s="17" t="s">
        <v>184</v>
      </c>
      <c r="K179" s="17" t="s">
        <v>71</v>
      </c>
      <c r="L179" s="17" t="s">
        <v>205</v>
      </c>
      <c r="M179" s="17" t="s">
        <v>803</v>
      </c>
      <c r="N179" s="17" t="s">
        <v>804</v>
      </c>
      <c r="O179" s="18">
        <v>45969</v>
      </c>
      <c r="P179" s="17" t="s">
        <v>137</v>
      </c>
    </row>
    <row r="180" spans="1:16" x14ac:dyDescent="0.3">
      <c r="A180" s="17" t="s">
        <v>805</v>
      </c>
      <c r="B180" s="17" t="s">
        <v>806</v>
      </c>
      <c r="C180" s="17" t="s">
        <v>57</v>
      </c>
      <c r="D180" s="17" t="s">
        <v>66</v>
      </c>
      <c r="E180" s="17" t="s">
        <v>67</v>
      </c>
      <c r="F180" s="17" t="s">
        <v>706</v>
      </c>
      <c r="G180" s="17">
        <v>95</v>
      </c>
      <c r="H180" s="17">
        <v>85</v>
      </c>
      <c r="I180" s="17">
        <v>13554.33</v>
      </c>
      <c r="J180" s="17" t="s">
        <v>229</v>
      </c>
      <c r="K180" s="17" t="s">
        <v>212</v>
      </c>
      <c r="L180" s="17" t="s">
        <v>82</v>
      </c>
      <c r="M180" s="17" t="s">
        <v>807</v>
      </c>
      <c r="N180" s="17" t="s">
        <v>808</v>
      </c>
      <c r="P180" s="17" t="s">
        <v>247</v>
      </c>
    </row>
    <row r="181" spans="1:16" x14ac:dyDescent="0.3">
      <c r="A181" s="17" t="s">
        <v>809</v>
      </c>
      <c r="C181" s="17" t="s">
        <v>117</v>
      </c>
      <c r="D181" s="17" t="s">
        <v>118</v>
      </c>
      <c r="E181" s="17" t="s">
        <v>810</v>
      </c>
      <c r="F181" s="17" t="s">
        <v>427</v>
      </c>
      <c r="H181" s="17">
        <v>404</v>
      </c>
      <c r="I181" s="17">
        <v>1004.98</v>
      </c>
      <c r="J181" s="17" t="s">
        <v>191</v>
      </c>
      <c r="K181" s="17" t="s">
        <v>261</v>
      </c>
      <c r="L181" s="17" t="s">
        <v>122</v>
      </c>
      <c r="M181" s="18">
        <v>45902</v>
      </c>
      <c r="N181" s="18">
        <v>45908</v>
      </c>
      <c r="O181" s="17" t="s">
        <v>580</v>
      </c>
      <c r="P181" s="17" t="s">
        <v>201</v>
      </c>
    </row>
    <row r="182" spans="1:16" x14ac:dyDescent="0.3">
      <c r="A182" s="17" t="s">
        <v>811</v>
      </c>
      <c r="B182" s="18">
        <v>45822</v>
      </c>
      <c r="C182" s="17" t="s">
        <v>57</v>
      </c>
      <c r="D182" s="17" t="s">
        <v>424</v>
      </c>
      <c r="E182" s="17" t="s">
        <v>538</v>
      </c>
      <c r="F182" s="17" t="s">
        <v>79</v>
      </c>
      <c r="G182" s="17">
        <v>308</v>
      </c>
      <c r="H182" s="17">
        <v>240</v>
      </c>
      <c r="I182" s="17">
        <v>34126.120000000003</v>
      </c>
      <c r="K182" s="17" t="s">
        <v>71</v>
      </c>
      <c r="L182" s="17" t="s">
        <v>63</v>
      </c>
      <c r="M182" s="17" t="s">
        <v>812</v>
      </c>
      <c r="N182" s="17" t="s">
        <v>813</v>
      </c>
      <c r="O182" s="18">
        <v>45858</v>
      </c>
      <c r="P182" s="17" t="s">
        <v>153</v>
      </c>
    </row>
    <row r="183" spans="1:16" x14ac:dyDescent="0.3">
      <c r="A183" s="17" t="s">
        <v>814</v>
      </c>
      <c r="B183" s="17" t="s">
        <v>815</v>
      </c>
      <c r="C183" s="17" t="s">
        <v>232</v>
      </c>
      <c r="D183" s="17" t="s">
        <v>88</v>
      </c>
      <c r="E183" s="17" t="s">
        <v>210</v>
      </c>
      <c r="F183" s="17" t="s">
        <v>307</v>
      </c>
      <c r="G183" s="17">
        <v>127</v>
      </c>
      <c r="H183" s="17">
        <v>90</v>
      </c>
      <c r="I183" s="17" t="s">
        <v>816</v>
      </c>
      <c r="J183" s="17" t="s">
        <v>70</v>
      </c>
      <c r="K183" s="17" t="s">
        <v>101</v>
      </c>
      <c r="L183" s="17" t="s">
        <v>276</v>
      </c>
      <c r="M183" s="17" t="s">
        <v>586</v>
      </c>
      <c r="N183" s="18">
        <v>46017</v>
      </c>
      <c r="P183" s="17" t="s">
        <v>104</v>
      </c>
    </row>
    <row r="184" spans="1:16" x14ac:dyDescent="0.3">
      <c r="A184" s="17" t="s">
        <v>817</v>
      </c>
      <c r="B184" s="17" t="s">
        <v>630</v>
      </c>
      <c r="C184" s="17" t="s">
        <v>127</v>
      </c>
      <c r="D184" s="17" t="s">
        <v>272</v>
      </c>
      <c r="E184" s="17" t="s">
        <v>555</v>
      </c>
      <c r="F184" s="17" t="s">
        <v>556</v>
      </c>
      <c r="G184" s="17">
        <v>227</v>
      </c>
      <c r="H184" s="17">
        <v>219</v>
      </c>
      <c r="I184" s="17">
        <v>20473.669999999998</v>
      </c>
      <c r="J184" s="17" t="s">
        <v>229</v>
      </c>
      <c r="K184" s="17" t="s">
        <v>450</v>
      </c>
      <c r="L184" s="17" t="s">
        <v>82</v>
      </c>
      <c r="M184" s="18">
        <v>45687</v>
      </c>
      <c r="P184" s="17" t="s">
        <v>433</v>
      </c>
    </row>
    <row r="185" spans="1:16" x14ac:dyDescent="0.3">
      <c r="A185" s="17" t="s">
        <v>818</v>
      </c>
      <c r="B185" s="17" t="s">
        <v>819</v>
      </c>
      <c r="C185" s="17" t="s">
        <v>476</v>
      </c>
      <c r="D185" s="17" t="s">
        <v>148</v>
      </c>
      <c r="E185" s="17" t="s">
        <v>683</v>
      </c>
      <c r="F185" s="17" t="s">
        <v>218</v>
      </c>
      <c r="G185" s="17">
        <v>115</v>
      </c>
      <c r="I185" s="17">
        <v>20556.34</v>
      </c>
      <c r="J185" s="17" t="s">
        <v>355</v>
      </c>
      <c r="K185" s="17" t="s">
        <v>408</v>
      </c>
      <c r="L185" s="17" t="s">
        <v>122</v>
      </c>
      <c r="P185" s="17" t="s">
        <v>729</v>
      </c>
    </row>
    <row r="186" spans="1:16" x14ac:dyDescent="0.3">
      <c r="A186" s="17" t="s">
        <v>820</v>
      </c>
      <c r="B186" s="17" t="s">
        <v>821</v>
      </c>
      <c r="C186" s="17" t="s">
        <v>358</v>
      </c>
      <c r="D186" s="17" t="s">
        <v>97</v>
      </c>
      <c r="E186" s="17" t="s">
        <v>538</v>
      </c>
      <c r="F186" s="17" t="s">
        <v>79</v>
      </c>
      <c r="G186" s="17">
        <v>307</v>
      </c>
      <c r="I186" s="17" t="s">
        <v>822</v>
      </c>
      <c r="J186" s="17" t="s">
        <v>355</v>
      </c>
      <c r="K186" s="17" t="s">
        <v>300</v>
      </c>
      <c r="L186" s="17" t="s">
        <v>82</v>
      </c>
      <c r="P186" s="17" t="s">
        <v>144</v>
      </c>
    </row>
    <row r="187" spans="1:16" x14ac:dyDescent="0.3">
      <c r="A187" s="17" t="s">
        <v>823</v>
      </c>
      <c r="B187" s="18">
        <v>45911</v>
      </c>
      <c r="C187" s="17" t="s">
        <v>76</v>
      </c>
      <c r="D187" s="17" t="s">
        <v>77</v>
      </c>
      <c r="E187" s="17" t="s">
        <v>477</v>
      </c>
      <c r="F187" s="17" t="s">
        <v>608</v>
      </c>
      <c r="G187" s="17">
        <v>491</v>
      </c>
      <c r="H187" s="17">
        <v>378</v>
      </c>
      <c r="I187" s="17" t="s">
        <v>824</v>
      </c>
      <c r="J187" s="17" t="s">
        <v>61</v>
      </c>
      <c r="K187" s="17" t="s">
        <v>251</v>
      </c>
      <c r="L187" s="17" t="s">
        <v>284</v>
      </c>
      <c r="M187" s="17" t="s">
        <v>322</v>
      </c>
      <c r="N187" s="18">
        <v>45932</v>
      </c>
      <c r="P187" s="17" t="s">
        <v>222</v>
      </c>
    </row>
    <row r="188" spans="1:16" x14ac:dyDescent="0.3">
      <c r="A188" s="17" t="s">
        <v>825</v>
      </c>
      <c r="B188" s="18">
        <v>45935</v>
      </c>
      <c r="C188" s="17" t="s">
        <v>328</v>
      </c>
      <c r="D188" s="17" t="s">
        <v>256</v>
      </c>
      <c r="E188" s="17" t="s">
        <v>128</v>
      </c>
      <c r="F188" s="17" t="s">
        <v>172</v>
      </c>
      <c r="G188" s="17">
        <v>322</v>
      </c>
      <c r="H188" s="17">
        <v>230</v>
      </c>
      <c r="I188" s="17">
        <v>42547.7</v>
      </c>
      <c r="J188" s="17" t="s">
        <v>303</v>
      </c>
      <c r="K188" s="17" t="s">
        <v>129</v>
      </c>
      <c r="L188" s="17" t="s">
        <v>63</v>
      </c>
      <c r="M188" s="17" t="s">
        <v>826</v>
      </c>
      <c r="N188" s="17" t="s">
        <v>305</v>
      </c>
      <c r="P188" s="17" t="s">
        <v>104</v>
      </c>
    </row>
    <row r="189" spans="1:16" x14ac:dyDescent="0.3">
      <c r="A189" s="17" t="s">
        <v>827</v>
      </c>
      <c r="B189" s="17" t="s">
        <v>828</v>
      </c>
      <c r="C189" s="17" t="s">
        <v>829</v>
      </c>
      <c r="D189" s="17" t="s">
        <v>249</v>
      </c>
      <c r="E189" s="17" t="s">
        <v>59</v>
      </c>
      <c r="F189" s="17" t="s">
        <v>172</v>
      </c>
      <c r="G189" s="17">
        <v>195</v>
      </c>
      <c r="I189" s="17">
        <v>23771.71</v>
      </c>
      <c r="J189" s="17" t="s">
        <v>80</v>
      </c>
      <c r="K189" s="17" t="s">
        <v>92</v>
      </c>
      <c r="L189" s="17" t="s">
        <v>205</v>
      </c>
      <c r="P189" s="17" t="s">
        <v>74</v>
      </c>
    </row>
    <row r="190" spans="1:16" x14ac:dyDescent="0.3">
      <c r="A190" s="17" t="s">
        <v>830</v>
      </c>
      <c r="B190" s="17" t="s">
        <v>831</v>
      </c>
      <c r="C190" s="17" t="s">
        <v>293</v>
      </c>
      <c r="D190" s="17" t="s">
        <v>66</v>
      </c>
      <c r="E190" s="17" t="s">
        <v>400</v>
      </c>
      <c r="F190" s="17" t="s">
        <v>712</v>
      </c>
      <c r="G190" s="17">
        <v>271</v>
      </c>
      <c r="I190" s="17">
        <v>1167.6600000000001</v>
      </c>
      <c r="J190" s="17" t="s">
        <v>347</v>
      </c>
      <c r="K190" s="17" t="s">
        <v>408</v>
      </c>
      <c r="L190" s="17" t="s">
        <v>82</v>
      </c>
      <c r="P190" s="17" t="s">
        <v>153</v>
      </c>
    </row>
    <row r="191" spans="1:16" x14ac:dyDescent="0.3">
      <c r="A191" s="17" t="s">
        <v>832</v>
      </c>
      <c r="B191" s="17" t="s">
        <v>833</v>
      </c>
      <c r="C191" s="17" t="s">
        <v>180</v>
      </c>
      <c r="D191" s="17" t="s">
        <v>97</v>
      </c>
      <c r="E191" s="17" t="s">
        <v>555</v>
      </c>
      <c r="F191" s="17" t="s">
        <v>141</v>
      </c>
      <c r="G191" s="17">
        <v>195</v>
      </c>
      <c r="H191" s="17">
        <v>139</v>
      </c>
      <c r="I191" s="17" t="s">
        <v>834</v>
      </c>
      <c r="J191" s="17" t="s">
        <v>303</v>
      </c>
      <c r="K191" s="17" t="s">
        <v>71</v>
      </c>
      <c r="L191" s="17" t="s">
        <v>193</v>
      </c>
      <c r="M191" s="18">
        <v>45753</v>
      </c>
      <c r="N191" s="17" t="s">
        <v>835</v>
      </c>
      <c r="O191" s="17" t="s">
        <v>836</v>
      </c>
      <c r="P191" s="17" t="s">
        <v>729</v>
      </c>
    </row>
    <row r="192" spans="1:16" x14ac:dyDescent="0.3">
      <c r="A192" s="17" t="s">
        <v>837</v>
      </c>
      <c r="B192" s="18">
        <v>45812</v>
      </c>
      <c r="C192" s="17" t="s">
        <v>232</v>
      </c>
      <c r="D192" s="17" t="s">
        <v>272</v>
      </c>
      <c r="E192" s="17" t="s">
        <v>345</v>
      </c>
      <c r="F192" s="17" t="s">
        <v>662</v>
      </c>
      <c r="G192" s="17">
        <v>481</v>
      </c>
      <c r="I192" s="17">
        <v>6670.47</v>
      </c>
      <c r="J192" s="17" t="s">
        <v>80</v>
      </c>
      <c r="K192" s="17" t="s">
        <v>408</v>
      </c>
      <c r="L192" s="17" t="s">
        <v>276</v>
      </c>
      <c r="P192" s="17" t="s">
        <v>247</v>
      </c>
    </row>
    <row r="193" spans="1:16" x14ac:dyDescent="0.3">
      <c r="A193" s="17" t="s">
        <v>838</v>
      </c>
      <c r="B193" s="17" t="s">
        <v>839</v>
      </c>
      <c r="C193" s="17" t="s">
        <v>65</v>
      </c>
      <c r="D193" s="17" t="s">
        <v>58</v>
      </c>
      <c r="E193" s="17" t="s">
        <v>659</v>
      </c>
      <c r="F193" s="17" t="s">
        <v>468</v>
      </c>
      <c r="G193" s="17">
        <v>210</v>
      </c>
      <c r="H193" s="17">
        <v>169</v>
      </c>
      <c r="I193" s="17">
        <v>14787.54</v>
      </c>
      <c r="J193" s="17" t="s">
        <v>143</v>
      </c>
      <c r="K193" s="17" t="s">
        <v>129</v>
      </c>
      <c r="L193" s="17" t="s">
        <v>102</v>
      </c>
      <c r="N193" s="17" t="s">
        <v>840</v>
      </c>
      <c r="P193" s="17" t="s">
        <v>230</v>
      </c>
    </row>
    <row r="194" spans="1:16" x14ac:dyDescent="0.3">
      <c r="A194" s="17" t="s">
        <v>841</v>
      </c>
      <c r="B194" s="18">
        <v>45803</v>
      </c>
      <c r="C194" s="17" t="s">
        <v>299</v>
      </c>
      <c r="D194" s="17" t="s">
        <v>58</v>
      </c>
      <c r="E194" s="17" t="s">
        <v>67</v>
      </c>
      <c r="F194" s="17" t="s">
        <v>706</v>
      </c>
      <c r="G194" s="17">
        <v>452</v>
      </c>
      <c r="H194" s="17">
        <v>436</v>
      </c>
      <c r="I194" s="17">
        <v>33407.519999999997</v>
      </c>
      <c r="J194" s="17" t="s">
        <v>198</v>
      </c>
      <c r="K194" s="17" t="s">
        <v>251</v>
      </c>
      <c r="L194" s="17" t="s">
        <v>284</v>
      </c>
      <c r="M194" s="17" t="s">
        <v>842</v>
      </c>
      <c r="N194" s="17" t="s">
        <v>136</v>
      </c>
    </row>
    <row r="195" spans="1:16" x14ac:dyDescent="0.3">
      <c r="A195" s="17" t="s">
        <v>843</v>
      </c>
      <c r="B195" s="17" t="s">
        <v>733</v>
      </c>
      <c r="C195" s="17" t="s">
        <v>255</v>
      </c>
      <c r="D195" s="17" t="s">
        <v>226</v>
      </c>
      <c r="E195" s="17" t="s">
        <v>319</v>
      </c>
      <c r="F195" s="17" t="s">
        <v>110</v>
      </c>
      <c r="G195" s="17">
        <v>100</v>
      </c>
      <c r="H195" s="17">
        <v>84</v>
      </c>
      <c r="I195" s="17">
        <v>37052.54</v>
      </c>
      <c r="J195" s="17" t="s">
        <v>303</v>
      </c>
      <c r="K195" s="17" t="s">
        <v>175</v>
      </c>
      <c r="L195" s="17" t="s">
        <v>82</v>
      </c>
      <c r="M195" s="17" t="s">
        <v>844</v>
      </c>
      <c r="P195" s="17" t="s">
        <v>222</v>
      </c>
    </row>
    <row r="196" spans="1:16" x14ac:dyDescent="0.3">
      <c r="A196" s="17" t="s">
        <v>845</v>
      </c>
      <c r="C196" s="17" t="s">
        <v>639</v>
      </c>
      <c r="D196" s="17" t="s">
        <v>58</v>
      </c>
      <c r="E196" s="17" t="s">
        <v>302</v>
      </c>
      <c r="F196" s="17" t="s">
        <v>68</v>
      </c>
      <c r="G196" s="17">
        <v>360</v>
      </c>
      <c r="H196" s="17">
        <v>331</v>
      </c>
      <c r="I196" s="17">
        <v>936.9</v>
      </c>
      <c r="J196" s="17" t="s">
        <v>198</v>
      </c>
      <c r="K196" s="17" t="s">
        <v>175</v>
      </c>
      <c r="L196" s="17" t="s">
        <v>284</v>
      </c>
      <c r="M196" s="17" t="s">
        <v>341</v>
      </c>
      <c r="N196" s="17" t="s">
        <v>846</v>
      </c>
      <c r="P196" s="17" t="s">
        <v>177</v>
      </c>
    </row>
    <row r="197" spans="1:16" x14ac:dyDescent="0.3">
      <c r="A197" s="17" t="s">
        <v>847</v>
      </c>
      <c r="B197" s="18">
        <v>45707</v>
      </c>
      <c r="C197" s="17" t="s">
        <v>281</v>
      </c>
      <c r="D197" s="17" t="s">
        <v>97</v>
      </c>
      <c r="E197" s="17" t="s">
        <v>128</v>
      </c>
      <c r="F197" s="17" t="s">
        <v>282</v>
      </c>
      <c r="G197" s="17">
        <v>11</v>
      </c>
      <c r="H197" s="17">
        <v>10</v>
      </c>
      <c r="I197" s="17" t="s">
        <v>848</v>
      </c>
      <c r="J197" s="17" t="s">
        <v>143</v>
      </c>
      <c r="K197" s="17" t="s">
        <v>499</v>
      </c>
      <c r="L197" s="17" t="s">
        <v>82</v>
      </c>
      <c r="P197" s="17" t="s">
        <v>591</v>
      </c>
    </row>
    <row r="198" spans="1:16" x14ac:dyDescent="0.3">
      <c r="A198" s="17" t="s">
        <v>849</v>
      </c>
      <c r="B198" s="18">
        <v>45963</v>
      </c>
      <c r="C198" s="17" t="s">
        <v>238</v>
      </c>
      <c r="D198" s="17" t="s">
        <v>256</v>
      </c>
      <c r="E198" s="17" t="s">
        <v>140</v>
      </c>
      <c r="F198" s="17" t="s">
        <v>274</v>
      </c>
      <c r="G198" s="17">
        <v>368</v>
      </c>
      <c r="H198" s="17">
        <v>270</v>
      </c>
      <c r="J198" s="17" t="s">
        <v>229</v>
      </c>
      <c r="K198" s="17" t="s">
        <v>499</v>
      </c>
      <c r="L198" s="17" t="s">
        <v>239</v>
      </c>
      <c r="M198" s="17" t="s">
        <v>850</v>
      </c>
      <c r="P198" s="17" t="s">
        <v>410</v>
      </c>
    </row>
    <row r="199" spans="1:16" x14ac:dyDescent="0.3">
      <c r="A199" s="17" t="s">
        <v>851</v>
      </c>
      <c r="B199" s="17" t="s">
        <v>852</v>
      </c>
      <c r="C199" s="17" t="s">
        <v>65</v>
      </c>
      <c r="D199" s="17" t="s">
        <v>77</v>
      </c>
      <c r="E199" s="17" t="s">
        <v>157</v>
      </c>
      <c r="F199" s="17" t="s">
        <v>427</v>
      </c>
      <c r="G199" s="17">
        <v>51</v>
      </c>
      <c r="H199" s="17">
        <v>39</v>
      </c>
      <c r="I199" s="17">
        <v>26151.85</v>
      </c>
      <c r="J199" s="17" t="s">
        <v>143</v>
      </c>
      <c r="L199" s="17" t="s">
        <v>63</v>
      </c>
      <c r="M199" s="17" t="s">
        <v>570</v>
      </c>
      <c r="N199" s="17" t="s">
        <v>853</v>
      </c>
      <c r="P199" s="17" t="s">
        <v>478</v>
      </c>
    </row>
    <row r="200" spans="1:16" x14ac:dyDescent="0.3">
      <c r="A200" s="17" t="s">
        <v>854</v>
      </c>
      <c r="B200" s="17" t="s">
        <v>855</v>
      </c>
      <c r="C200" s="17" t="s">
        <v>133</v>
      </c>
      <c r="D200" s="17" t="s">
        <v>88</v>
      </c>
      <c r="E200" s="17" t="s">
        <v>363</v>
      </c>
      <c r="F200" s="17" t="s">
        <v>856</v>
      </c>
      <c r="G200" s="17">
        <v>268</v>
      </c>
      <c r="H200" s="17">
        <v>266</v>
      </c>
      <c r="I200" s="17" t="s">
        <v>857</v>
      </c>
      <c r="J200" s="17" t="s">
        <v>70</v>
      </c>
      <c r="K200" s="17" t="s">
        <v>261</v>
      </c>
      <c r="L200" s="17" t="s">
        <v>309</v>
      </c>
      <c r="M200" s="17" t="s">
        <v>858</v>
      </c>
      <c r="N200" s="18">
        <v>45862</v>
      </c>
      <c r="P200" s="17" t="s">
        <v>501</v>
      </c>
    </row>
    <row r="201" spans="1:16" x14ac:dyDescent="0.3">
      <c r="A201" s="17" t="s">
        <v>859</v>
      </c>
      <c r="C201" s="17" t="s">
        <v>107</v>
      </c>
      <c r="D201" s="17" t="s">
        <v>118</v>
      </c>
      <c r="E201" s="17" t="s">
        <v>683</v>
      </c>
      <c r="F201" s="17" t="s">
        <v>258</v>
      </c>
      <c r="G201" s="17">
        <v>78</v>
      </c>
      <c r="I201" s="17">
        <v>43994.05</v>
      </c>
      <c r="J201" s="17" t="s">
        <v>100</v>
      </c>
      <c r="K201" s="17" t="s">
        <v>300</v>
      </c>
      <c r="L201" s="17" t="s">
        <v>63</v>
      </c>
      <c r="P201" s="17" t="s">
        <v>201</v>
      </c>
    </row>
    <row r="202" spans="1:16" x14ac:dyDescent="0.3">
      <c r="A202" s="17" t="s">
        <v>860</v>
      </c>
      <c r="B202" s="17" t="s">
        <v>846</v>
      </c>
      <c r="C202" s="17" t="s">
        <v>216</v>
      </c>
      <c r="D202" s="17" t="s">
        <v>88</v>
      </c>
      <c r="E202" s="17" t="s">
        <v>443</v>
      </c>
      <c r="F202" s="17" t="s">
        <v>444</v>
      </c>
      <c r="G202" s="17">
        <v>67</v>
      </c>
      <c r="H202" s="17">
        <v>59</v>
      </c>
      <c r="I202" s="17" t="s">
        <v>861</v>
      </c>
      <c r="J202" s="17" t="s">
        <v>184</v>
      </c>
      <c r="K202" s="17" t="s">
        <v>112</v>
      </c>
      <c r="L202" s="17" t="s">
        <v>102</v>
      </c>
      <c r="M202" s="18">
        <v>45921</v>
      </c>
      <c r="N202" s="17" t="s">
        <v>862</v>
      </c>
      <c r="P202" s="17" t="s">
        <v>393</v>
      </c>
    </row>
    <row r="203" spans="1:16" x14ac:dyDescent="0.3">
      <c r="A203" s="17" t="s">
        <v>863</v>
      </c>
      <c r="C203" s="17" t="s">
        <v>117</v>
      </c>
      <c r="D203" s="17" t="s">
        <v>266</v>
      </c>
      <c r="E203" s="17" t="s">
        <v>472</v>
      </c>
      <c r="F203" s="17" t="s">
        <v>339</v>
      </c>
      <c r="G203" s="17">
        <v>0</v>
      </c>
      <c r="H203" s="17">
        <v>215</v>
      </c>
      <c r="I203" s="17">
        <v>35105.300000000003</v>
      </c>
      <c r="J203" s="17" t="s">
        <v>91</v>
      </c>
      <c r="K203" s="17" t="s">
        <v>450</v>
      </c>
      <c r="L203" s="17" t="s">
        <v>246</v>
      </c>
      <c r="M203" s="17" t="s">
        <v>728</v>
      </c>
      <c r="N203" s="17" t="s">
        <v>577</v>
      </c>
      <c r="P203" s="17" t="s">
        <v>170</v>
      </c>
    </row>
    <row r="204" spans="1:16" x14ac:dyDescent="0.3">
      <c r="A204" s="17" t="s">
        <v>864</v>
      </c>
      <c r="B204" s="17" t="s">
        <v>380</v>
      </c>
      <c r="C204" s="17" t="s">
        <v>390</v>
      </c>
      <c r="D204" s="17" t="s">
        <v>266</v>
      </c>
      <c r="E204" s="17" t="s">
        <v>233</v>
      </c>
      <c r="F204" s="17" t="s">
        <v>468</v>
      </c>
      <c r="G204" s="17">
        <v>199</v>
      </c>
      <c r="H204" s="17">
        <v>160</v>
      </c>
      <c r="J204" s="17" t="s">
        <v>160</v>
      </c>
      <c r="K204" s="17" t="s">
        <v>251</v>
      </c>
      <c r="L204" s="17" t="s">
        <v>113</v>
      </c>
      <c r="M204" s="17" t="s">
        <v>280</v>
      </c>
      <c r="N204" s="17" t="s">
        <v>624</v>
      </c>
      <c r="P204" s="17" t="s">
        <v>269</v>
      </c>
    </row>
    <row r="205" spans="1:16" x14ac:dyDescent="0.3">
      <c r="A205" s="17" t="s">
        <v>865</v>
      </c>
      <c r="B205" s="17" t="s">
        <v>130</v>
      </c>
      <c r="C205" s="17" t="s">
        <v>299</v>
      </c>
      <c r="D205" s="17" t="s">
        <v>333</v>
      </c>
      <c r="E205" s="17" t="s">
        <v>363</v>
      </c>
      <c r="F205" s="17" t="s">
        <v>608</v>
      </c>
      <c r="G205" s="17">
        <v>259</v>
      </c>
      <c r="H205" s="17">
        <v>207</v>
      </c>
      <c r="I205" s="17">
        <v>27725.03</v>
      </c>
      <c r="J205" s="17" t="s">
        <v>303</v>
      </c>
      <c r="K205" s="17" t="s">
        <v>71</v>
      </c>
      <c r="L205" s="17" t="s">
        <v>409</v>
      </c>
      <c r="M205" s="18">
        <v>45715</v>
      </c>
      <c r="N205" s="17" t="s">
        <v>866</v>
      </c>
      <c r="O205" s="17" t="s">
        <v>867</v>
      </c>
      <c r="P205" s="17" t="s">
        <v>207</v>
      </c>
    </row>
    <row r="206" spans="1:16" x14ac:dyDescent="0.3">
      <c r="A206" s="17" t="s">
        <v>868</v>
      </c>
      <c r="B206" s="17" t="s">
        <v>869</v>
      </c>
      <c r="C206" s="17" t="s">
        <v>57</v>
      </c>
      <c r="D206" s="17" t="s">
        <v>66</v>
      </c>
      <c r="E206" s="17" t="s">
        <v>128</v>
      </c>
      <c r="F206" s="17" t="s">
        <v>172</v>
      </c>
      <c r="G206" s="17">
        <v>217</v>
      </c>
      <c r="I206" s="17">
        <v>20477.3</v>
      </c>
      <c r="J206" s="17" t="s">
        <v>229</v>
      </c>
      <c r="K206" s="17" t="s">
        <v>92</v>
      </c>
      <c r="L206" s="17" t="s">
        <v>82</v>
      </c>
      <c r="P206" s="17" t="s">
        <v>153</v>
      </c>
    </row>
    <row r="207" spans="1:16" x14ac:dyDescent="0.3">
      <c r="A207" s="17" t="s">
        <v>870</v>
      </c>
      <c r="B207" s="17" t="s">
        <v>866</v>
      </c>
      <c r="C207" s="17" t="s">
        <v>489</v>
      </c>
      <c r="D207" s="17" t="s">
        <v>148</v>
      </c>
      <c r="E207" s="17" t="s">
        <v>67</v>
      </c>
      <c r="F207" s="17" t="s">
        <v>250</v>
      </c>
      <c r="G207" s="17">
        <v>215</v>
      </c>
      <c r="H207" s="17">
        <v>154</v>
      </c>
      <c r="I207" s="17" t="s">
        <v>871</v>
      </c>
      <c r="J207" s="17" t="s">
        <v>174</v>
      </c>
      <c r="K207" s="17" t="s">
        <v>251</v>
      </c>
      <c r="L207" s="17" t="s">
        <v>284</v>
      </c>
      <c r="M207" s="18">
        <v>45740</v>
      </c>
      <c r="P207" s="17" t="s">
        <v>162</v>
      </c>
    </row>
    <row r="208" spans="1:16" x14ac:dyDescent="0.3">
      <c r="A208" s="17" t="s">
        <v>872</v>
      </c>
      <c r="B208" s="17" t="s">
        <v>873</v>
      </c>
      <c r="C208" s="17" t="s">
        <v>133</v>
      </c>
      <c r="D208" s="17" t="s">
        <v>181</v>
      </c>
      <c r="E208" s="17" t="s">
        <v>149</v>
      </c>
      <c r="F208" s="17" t="s">
        <v>724</v>
      </c>
      <c r="G208" s="17">
        <v>313</v>
      </c>
      <c r="I208" s="17" t="s">
        <v>874</v>
      </c>
      <c r="J208" s="17" t="s">
        <v>160</v>
      </c>
      <c r="K208" s="17" t="s">
        <v>408</v>
      </c>
      <c r="L208" s="17" t="s">
        <v>151</v>
      </c>
      <c r="P208" s="17" t="s">
        <v>315</v>
      </c>
    </row>
    <row r="209" spans="1:16" x14ac:dyDescent="0.3">
      <c r="A209" s="17" t="s">
        <v>875</v>
      </c>
      <c r="B209" s="17" t="s">
        <v>876</v>
      </c>
      <c r="C209" s="17" t="s">
        <v>293</v>
      </c>
      <c r="D209" s="17" t="s">
        <v>58</v>
      </c>
      <c r="E209" s="17" t="s">
        <v>119</v>
      </c>
      <c r="F209" s="17" t="s">
        <v>167</v>
      </c>
      <c r="G209" s="17">
        <v>483</v>
      </c>
      <c r="H209" s="17">
        <v>363</v>
      </c>
      <c r="I209" s="17">
        <v>43651.07</v>
      </c>
      <c r="J209" s="17" t="s">
        <v>184</v>
      </c>
      <c r="K209" s="17" t="s">
        <v>261</v>
      </c>
      <c r="L209" s="17" t="s">
        <v>122</v>
      </c>
      <c r="M209" s="17" t="s">
        <v>877</v>
      </c>
      <c r="N209" s="17" t="s">
        <v>813</v>
      </c>
      <c r="O209" s="17" t="s">
        <v>878</v>
      </c>
      <c r="P209" s="17" t="s">
        <v>433</v>
      </c>
    </row>
    <row r="210" spans="1:16" x14ac:dyDescent="0.3">
      <c r="A210" s="17" t="s">
        <v>879</v>
      </c>
      <c r="B210" s="17" t="s">
        <v>880</v>
      </c>
      <c r="C210" s="17" t="s">
        <v>155</v>
      </c>
      <c r="D210" s="17" t="s">
        <v>249</v>
      </c>
      <c r="E210" s="17" t="s">
        <v>443</v>
      </c>
      <c r="F210" s="17" t="s">
        <v>287</v>
      </c>
      <c r="G210" s="17">
        <v>278</v>
      </c>
      <c r="H210" s="17">
        <v>226</v>
      </c>
      <c r="I210" s="17" t="s">
        <v>881</v>
      </c>
      <c r="J210" s="17" t="s">
        <v>143</v>
      </c>
      <c r="K210" s="17" t="s">
        <v>288</v>
      </c>
      <c r="L210" s="17" t="s">
        <v>63</v>
      </c>
      <c r="M210" s="17" t="s">
        <v>882</v>
      </c>
      <c r="N210" s="17" t="s">
        <v>839</v>
      </c>
      <c r="O210" s="17" t="s">
        <v>883</v>
      </c>
      <c r="P210" s="17" t="s">
        <v>115</v>
      </c>
    </row>
    <row r="211" spans="1:16" x14ac:dyDescent="0.3">
      <c r="A211" s="17" t="s">
        <v>884</v>
      </c>
      <c r="B211" s="17" t="s">
        <v>885</v>
      </c>
      <c r="C211" s="17" t="s">
        <v>65</v>
      </c>
      <c r="D211" s="17" t="s">
        <v>77</v>
      </c>
      <c r="E211" s="17" t="s">
        <v>400</v>
      </c>
      <c r="F211" s="17" t="s">
        <v>172</v>
      </c>
      <c r="G211" s="17">
        <v>-360</v>
      </c>
      <c r="I211" s="17" t="s">
        <v>886</v>
      </c>
      <c r="J211" s="17" t="s">
        <v>143</v>
      </c>
      <c r="K211" s="17" t="s">
        <v>92</v>
      </c>
      <c r="L211" s="17" t="s">
        <v>276</v>
      </c>
      <c r="P211" s="17" t="s">
        <v>207</v>
      </c>
    </row>
    <row r="212" spans="1:16" x14ac:dyDescent="0.3">
      <c r="A212" s="17" t="s">
        <v>887</v>
      </c>
      <c r="B212" s="17" t="s">
        <v>883</v>
      </c>
      <c r="C212" s="17" t="s">
        <v>232</v>
      </c>
      <c r="D212" s="17" t="s">
        <v>77</v>
      </c>
      <c r="E212" s="17" t="s">
        <v>128</v>
      </c>
      <c r="F212" s="17" t="s">
        <v>60</v>
      </c>
      <c r="H212" s="17">
        <v>86</v>
      </c>
      <c r="I212" s="17" t="s">
        <v>888</v>
      </c>
      <c r="J212" s="17" t="s">
        <v>198</v>
      </c>
      <c r="K212" s="17" t="s">
        <v>450</v>
      </c>
      <c r="L212" s="17" t="s">
        <v>186</v>
      </c>
      <c r="M212" s="18">
        <v>46019</v>
      </c>
      <c r="N212" s="17" t="s">
        <v>889</v>
      </c>
    </row>
    <row r="213" spans="1:16" x14ac:dyDescent="0.3">
      <c r="A213" s="17" t="s">
        <v>890</v>
      </c>
      <c r="B213" s="18">
        <v>45772</v>
      </c>
      <c r="C213" s="17" t="s">
        <v>180</v>
      </c>
      <c r="D213" s="17" t="s">
        <v>181</v>
      </c>
      <c r="E213" s="17" t="s">
        <v>217</v>
      </c>
      <c r="F213" s="17" t="s">
        <v>258</v>
      </c>
      <c r="G213" s="17">
        <v>152</v>
      </c>
      <c r="H213" s="17">
        <v>126</v>
      </c>
      <c r="I213" s="17">
        <v>9416.2800000000007</v>
      </c>
      <c r="J213" s="17" t="s">
        <v>191</v>
      </c>
      <c r="K213" s="17" t="s">
        <v>71</v>
      </c>
      <c r="L213" s="17" t="s">
        <v>151</v>
      </c>
      <c r="M213" s="17" t="s">
        <v>853</v>
      </c>
      <c r="N213" s="18">
        <v>45790</v>
      </c>
      <c r="O213" s="18">
        <v>45808</v>
      </c>
      <c r="P213" s="17" t="s">
        <v>269</v>
      </c>
    </row>
    <row r="214" spans="1:16" x14ac:dyDescent="0.3">
      <c r="A214" s="17" t="s">
        <v>891</v>
      </c>
      <c r="B214" s="17" t="s">
        <v>892</v>
      </c>
      <c r="C214" s="17" t="s">
        <v>378</v>
      </c>
      <c r="D214" s="17" t="s">
        <v>226</v>
      </c>
      <c r="E214" s="17" t="s">
        <v>391</v>
      </c>
      <c r="F214" s="17" t="s">
        <v>98</v>
      </c>
      <c r="G214" s="17">
        <v>470</v>
      </c>
      <c r="H214" s="17">
        <v>423</v>
      </c>
      <c r="J214" s="17" t="s">
        <v>303</v>
      </c>
      <c r="K214" s="17" t="s">
        <v>112</v>
      </c>
      <c r="L214" s="17" t="s">
        <v>284</v>
      </c>
      <c r="M214" s="17" t="s">
        <v>893</v>
      </c>
      <c r="N214" s="18">
        <v>45690</v>
      </c>
      <c r="P214" s="17" t="s">
        <v>94</v>
      </c>
    </row>
    <row r="215" spans="1:16" x14ac:dyDescent="0.3">
      <c r="A215" s="17" t="s">
        <v>894</v>
      </c>
      <c r="C215" s="17" t="s">
        <v>358</v>
      </c>
      <c r="D215" s="17" t="s">
        <v>88</v>
      </c>
      <c r="E215" s="17" t="s">
        <v>128</v>
      </c>
      <c r="F215" s="17" t="s">
        <v>282</v>
      </c>
      <c r="G215" s="17">
        <v>269</v>
      </c>
      <c r="H215" s="17">
        <v>213</v>
      </c>
      <c r="I215" s="17" t="s">
        <v>895</v>
      </c>
      <c r="J215" s="17" t="s">
        <v>143</v>
      </c>
      <c r="L215" s="17" t="s">
        <v>113</v>
      </c>
      <c r="M215" s="17" t="s">
        <v>896</v>
      </c>
      <c r="N215" s="17" t="s">
        <v>799</v>
      </c>
      <c r="P215" s="17" t="s">
        <v>236</v>
      </c>
    </row>
    <row r="216" spans="1:16" x14ac:dyDescent="0.3">
      <c r="A216" s="17" t="s">
        <v>897</v>
      </c>
      <c r="B216" s="18">
        <v>45803</v>
      </c>
      <c r="C216" s="17" t="s">
        <v>358</v>
      </c>
      <c r="D216" s="17" t="s">
        <v>97</v>
      </c>
      <c r="E216" s="17" t="s">
        <v>363</v>
      </c>
      <c r="F216" s="17" t="s">
        <v>856</v>
      </c>
      <c r="G216" s="17">
        <v>293</v>
      </c>
      <c r="H216" s="17">
        <v>256</v>
      </c>
      <c r="I216" s="17">
        <v>43727.49</v>
      </c>
      <c r="J216" s="17" t="s">
        <v>260</v>
      </c>
      <c r="K216" s="17" t="s">
        <v>251</v>
      </c>
      <c r="L216" s="17" t="s">
        <v>186</v>
      </c>
      <c r="N216" s="17" t="s">
        <v>858</v>
      </c>
      <c r="P216" s="17" t="s">
        <v>263</v>
      </c>
    </row>
    <row r="217" spans="1:16" x14ac:dyDescent="0.3">
      <c r="A217" s="17" t="s">
        <v>898</v>
      </c>
      <c r="B217" s="18">
        <v>45680</v>
      </c>
      <c r="C217" s="17" t="s">
        <v>238</v>
      </c>
      <c r="D217" s="17" t="s">
        <v>226</v>
      </c>
      <c r="E217" s="17" t="s">
        <v>233</v>
      </c>
      <c r="F217" s="17" t="s">
        <v>150</v>
      </c>
      <c r="G217" s="17">
        <v>490</v>
      </c>
      <c r="H217" s="17">
        <v>483</v>
      </c>
      <c r="I217" s="17" t="s">
        <v>899</v>
      </c>
      <c r="J217" s="17" t="s">
        <v>184</v>
      </c>
      <c r="K217" s="17" t="s">
        <v>288</v>
      </c>
      <c r="L217" s="17" t="s">
        <v>151</v>
      </c>
      <c r="M217" s="18">
        <v>45684</v>
      </c>
      <c r="N217" s="17" t="s">
        <v>86</v>
      </c>
      <c r="O217" s="17" t="s">
        <v>900</v>
      </c>
      <c r="P217" s="17" t="s">
        <v>222</v>
      </c>
    </row>
    <row r="218" spans="1:16" x14ac:dyDescent="0.3">
      <c r="A218" s="17" t="s">
        <v>901</v>
      </c>
      <c r="B218" s="17" t="s">
        <v>902</v>
      </c>
      <c r="C218" s="17" t="s">
        <v>225</v>
      </c>
      <c r="D218" s="17" t="s">
        <v>77</v>
      </c>
      <c r="E218" s="17" t="s">
        <v>59</v>
      </c>
      <c r="F218" s="17" t="s">
        <v>172</v>
      </c>
      <c r="G218" s="17">
        <v>267</v>
      </c>
      <c r="I218" s="17" t="s">
        <v>903</v>
      </c>
      <c r="K218" s="17" t="s">
        <v>707</v>
      </c>
      <c r="L218" s="17" t="s">
        <v>151</v>
      </c>
      <c r="P218" s="17" t="s">
        <v>222</v>
      </c>
    </row>
    <row r="219" spans="1:16" x14ac:dyDescent="0.3">
      <c r="A219" s="17" t="s">
        <v>904</v>
      </c>
      <c r="B219" s="17" t="s">
        <v>905</v>
      </c>
      <c r="C219" s="17" t="s">
        <v>293</v>
      </c>
      <c r="D219" s="17" t="s">
        <v>77</v>
      </c>
      <c r="E219" s="17" t="s">
        <v>443</v>
      </c>
      <c r="F219" s="17" t="s">
        <v>339</v>
      </c>
      <c r="G219" s="17">
        <v>435</v>
      </c>
      <c r="H219" s="17">
        <v>378</v>
      </c>
      <c r="I219" s="17">
        <v>24862.1</v>
      </c>
      <c r="J219" s="17" t="s">
        <v>303</v>
      </c>
      <c r="K219" s="17" t="s">
        <v>251</v>
      </c>
      <c r="L219" s="17" t="s">
        <v>151</v>
      </c>
      <c r="N219" s="18">
        <v>45924</v>
      </c>
      <c r="P219" s="17" t="s">
        <v>115</v>
      </c>
    </row>
    <row r="220" spans="1:16" x14ac:dyDescent="0.3">
      <c r="A220" s="17" t="s">
        <v>906</v>
      </c>
      <c r="C220" s="17" t="s">
        <v>127</v>
      </c>
      <c r="D220" s="17" t="s">
        <v>272</v>
      </c>
      <c r="E220" s="17" t="s">
        <v>257</v>
      </c>
      <c r="F220" s="17" t="s">
        <v>218</v>
      </c>
      <c r="H220" s="17">
        <v>77</v>
      </c>
      <c r="I220" s="17">
        <v>30352.38</v>
      </c>
      <c r="J220" s="17" t="s">
        <v>347</v>
      </c>
      <c r="K220" s="17" t="s">
        <v>81</v>
      </c>
      <c r="L220" s="17" t="s">
        <v>82</v>
      </c>
      <c r="M220" s="17" t="s">
        <v>495</v>
      </c>
      <c r="N220" s="18">
        <v>45822</v>
      </c>
      <c r="P220" s="17" t="s">
        <v>177</v>
      </c>
    </row>
    <row r="221" spans="1:16" x14ac:dyDescent="0.3">
      <c r="A221" s="17" t="s">
        <v>907</v>
      </c>
      <c r="B221" s="18">
        <v>45671</v>
      </c>
      <c r="C221" s="17" t="s">
        <v>147</v>
      </c>
      <c r="D221" s="17" t="s">
        <v>118</v>
      </c>
      <c r="E221" s="17" t="s">
        <v>413</v>
      </c>
      <c r="F221" s="17" t="s">
        <v>468</v>
      </c>
      <c r="G221" s="17">
        <v>228</v>
      </c>
      <c r="H221" s="17">
        <v>196</v>
      </c>
      <c r="J221" s="17" t="s">
        <v>303</v>
      </c>
      <c r="K221" s="17" t="s">
        <v>81</v>
      </c>
      <c r="L221" s="17" t="s">
        <v>309</v>
      </c>
      <c r="N221" s="17" t="s">
        <v>705</v>
      </c>
      <c r="P221" s="17" t="s">
        <v>207</v>
      </c>
    </row>
    <row r="222" spans="1:16" x14ac:dyDescent="0.3">
      <c r="A222" s="17" t="s">
        <v>908</v>
      </c>
      <c r="B222" s="17" t="s">
        <v>909</v>
      </c>
      <c r="C222" s="17" t="s">
        <v>127</v>
      </c>
      <c r="D222" s="17" t="s">
        <v>97</v>
      </c>
      <c r="E222" s="17" t="s">
        <v>319</v>
      </c>
      <c r="F222" s="17" t="s">
        <v>320</v>
      </c>
      <c r="G222" s="17">
        <v>123</v>
      </c>
      <c r="H222" s="17">
        <v>101</v>
      </c>
      <c r="I222" s="17" t="s">
        <v>910</v>
      </c>
      <c r="J222" s="17" t="s">
        <v>91</v>
      </c>
      <c r="K222" s="17" t="s">
        <v>129</v>
      </c>
      <c r="L222" s="17" t="s">
        <v>276</v>
      </c>
      <c r="M222" s="17" t="s">
        <v>911</v>
      </c>
      <c r="N222" s="17" t="s">
        <v>885</v>
      </c>
      <c r="P222" s="17" t="s">
        <v>664</v>
      </c>
    </row>
    <row r="223" spans="1:16" x14ac:dyDescent="0.3">
      <c r="A223" s="17" t="s">
        <v>912</v>
      </c>
      <c r="B223" s="18">
        <v>46002</v>
      </c>
      <c r="C223" s="17" t="s">
        <v>238</v>
      </c>
      <c r="D223" s="17" t="s">
        <v>226</v>
      </c>
      <c r="E223" s="17" t="s">
        <v>459</v>
      </c>
      <c r="F223" s="17" t="s">
        <v>444</v>
      </c>
      <c r="G223" s="17">
        <v>414</v>
      </c>
      <c r="H223" s="17">
        <v>315</v>
      </c>
      <c r="I223" s="17" t="s">
        <v>913</v>
      </c>
      <c r="J223" s="17" t="s">
        <v>143</v>
      </c>
      <c r="K223" s="17" t="s">
        <v>261</v>
      </c>
      <c r="L223" s="17" t="s">
        <v>284</v>
      </c>
      <c r="M223" s="17" t="s">
        <v>914</v>
      </c>
      <c r="N223" s="17" t="s">
        <v>915</v>
      </c>
      <c r="O223" s="17" t="s">
        <v>916</v>
      </c>
      <c r="P223" s="17" t="s">
        <v>729</v>
      </c>
    </row>
    <row r="224" spans="1:16" x14ac:dyDescent="0.3">
      <c r="A224" s="17" t="s">
        <v>917</v>
      </c>
      <c r="B224" s="17" t="s">
        <v>918</v>
      </c>
      <c r="C224" s="17" t="s">
        <v>155</v>
      </c>
      <c r="D224" s="17" t="s">
        <v>209</v>
      </c>
      <c r="E224" s="17" t="s">
        <v>210</v>
      </c>
      <c r="F224" s="17" t="s">
        <v>158</v>
      </c>
      <c r="G224" s="17">
        <v>399</v>
      </c>
      <c r="H224" s="17">
        <v>297</v>
      </c>
      <c r="I224" s="17" t="s">
        <v>919</v>
      </c>
      <c r="J224" s="17" t="s">
        <v>143</v>
      </c>
      <c r="K224" s="17" t="s">
        <v>288</v>
      </c>
      <c r="L224" s="17" t="s">
        <v>205</v>
      </c>
      <c r="M224" s="17" t="s">
        <v>72</v>
      </c>
      <c r="N224" s="17" t="s">
        <v>505</v>
      </c>
      <c r="O224" s="17" t="s">
        <v>855</v>
      </c>
      <c r="P224" s="17" t="s">
        <v>115</v>
      </c>
    </row>
    <row r="225" spans="1:16" x14ac:dyDescent="0.3">
      <c r="A225" s="17" t="s">
        <v>920</v>
      </c>
      <c r="B225" s="18">
        <v>45736</v>
      </c>
      <c r="C225" s="17" t="s">
        <v>216</v>
      </c>
      <c r="D225" s="17" t="s">
        <v>181</v>
      </c>
      <c r="E225" s="17" t="s">
        <v>542</v>
      </c>
      <c r="F225" s="17" t="s">
        <v>258</v>
      </c>
      <c r="G225" s="17">
        <v>67</v>
      </c>
      <c r="H225" s="17">
        <v>55</v>
      </c>
      <c r="I225" s="17">
        <v>34641.14</v>
      </c>
      <c r="J225" s="17" t="s">
        <v>143</v>
      </c>
      <c r="K225" s="17" t="s">
        <v>129</v>
      </c>
      <c r="L225" s="17" t="s">
        <v>309</v>
      </c>
      <c r="M225" s="18">
        <v>45740</v>
      </c>
      <c r="N225" s="17" t="s">
        <v>921</v>
      </c>
      <c r="P225" s="17" t="s">
        <v>236</v>
      </c>
    </row>
    <row r="226" spans="1:16" x14ac:dyDescent="0.3">
      <c r="A226" s="17" t="s">
        <v>922</v>
      </c>
      <c r="B226" s="17" t="s">
        <v>923</v>
      </c>
      <c r="C226" s="17" t="s">
        <v>281</v>
      </c>
      <c r="D226" s="17" t="s">
        <v>249</v>
      </c>
      <c r="E226" s="17" t="s">
        <v>520</v>
      </c>
      <c r="F226" s="17" t="s">
        <v>556</v>
      </c>
      <c r="G226" s="17">
        <v>166</v>
      </c>
      <c r="H226" s="17">
        <v>137</v>
      </c>
      <c r="I226" s="17" t="s">
        <v>924</v>
      </c>
      <c r="J226" s="17" t="s">
        <v>80</v>
      </c>
      <c r="K226" s="17" t="s">
        <v>261</v>
      </c>
      <c r="L226" s="17" t="s">
        <v>151</v>
      </c>
      <c r="N226" s="18">
        <v>45949</v>
      </c>
      <c r="O226" s="17" t="s">
        <v>925</v>
      </c>
      <c r="P226" s="17" t="s">
        <v>153</v>
      </c>
    </row>
    <row r="227" spans="1:16" x14ac:dyDescent="0.3">
      <c r="A227" s="17" t="s">
        <v>926</v>
      </c>
      <c r="B227" s="18">
        <v>45974</v>
      </c>
      <c r="C227" s="17" t="s">
        <v>216</v>
      </c>
      <c r="D227" s="17" t="s">
        <v>181</v>
      </c>
      <c r="E227" s="17" t="s">
        <v>78</v>
      </c>
      <c r="F227" s="17" t="s">
        <v>196</v>
      </c>
      <c r="G227" s="17">
        <v>402</v>
      </c>
      <c r="H227" s="17">
        <v>285</v>
      </c>
      <c r="I227" s="17">
        <v>15152.01</v>
      </c>
      <c r="J227" s="17" t="s">
        <v>229</v>
      </c>
      <c r="K227" s="17" t="s">
        <v>71</v>
      </c>
      <c r="L227" s="17" t="s">
        <v>246</v>
      </c>
      <c r="M227" s="17" t="s">
        <v>164</v>
      </c>
      <c r="N227" s="17" t="s">
        <v>927</v>
      </c>
      <c r="O227" s="18">
        <v>46010</v>
      </c>
      <c r="P227" s="17" t="s">
        <v>429</v>
      </c>
    </row>
    <row r="228" spans="1:16" x14ac:dyDescent="0.3">
      <c r="A228" s="17" t="s">
        <v>928</v>
      </c>
      <c r="C228" s="17" t="s">
        <v>639</v>
      </c>
      <c r="D228" s="17" t="s">
        <v>77</v>
      </c>
      <c r="E228" s="17" t="s">
        <v>369</v>
      </c>
      <c r="F228" s="17" t="s">
        <v>724</v>
      </c>
      <c r="G228" s="17">
        <v>158</v>
      </c>
      <c r="H228" s="17">
        <v>144</v>
      </c>
      <c r="I228" s="17" t="s">
        <v>929</v>
      </c>
      <c r="J228" s="17" t="s">
        <v>303</v>
      </c>
      <c r="K228" s="17" t="s">
        <v>71</v>
      </c>
      <c r="L228" s="17" t="s">
        <v>113</v>
      </c>
      <c r="M228" s="18">
        <v>45838</v>
      </c>
      <c r="N228" s="17" t="s">
        <v>326</v>
      </c>
      <c r="O228" s="17" t="s">
        <v>577</v>
      </c>
      <c r="P228" s="17" t="s">
        <v>269</v>
      </c>
    </row>
    <row r="229" spans="1:16" x14ac:dyDescent="0.3">
      <c r="A229" s="17" t="s">
        <v>930</v>
      </c>
      <c r="B229" s="17" t="s">
        <v>931</v>
      </c>
      <c r="C229" s="17" t="s">
        <v>238</v>
      </c>
      <c r="D229" s="17" t="s">
        <v>226</v>
      </c>
      <c r="E229" s="17" t="s">
        <v>514</v>
      </c>
      <c r="F229" s="17" t="s">
        <v>444</v>
      </c>
      <c r="G229" s="17">
        <v>426</v>
      </c>
      <c r="H229" s="17">
        <v>360</v>
      </c>
      <c r="I229" s="17">
        <v>20678.419999999998</v>
      </c>
      <c r="J229" s="17" t="s">
        <v>70</v>
      </c>
      <c r="K229" s="17" t="s">
        <v>288</v>
      </c>
      <c r="L229" s="17" t="s">
        <v>193</v>
      </c>
      <c r="M229" s="18">
        <v>46019</v>
      </c>
      <c r="N229" s="18">
        <v>46040</v>
      </c>
      <c r="P229" s="17" t="s">
        <v>230</v>
      </c>
    </row>
    <row r="230" spans="1:16" x14ac:dyDescent="0.3">
      <c r="A230" s="17" t="s">
        <v>932</v>
      </c>
      <c r="B230" s="17" t="s">
        <v>933</v>
      </c>
      <c r="C230" s="17" t="s">
        <v>299</v>
      </c>
      <c r="D230" s="17" t="s">
        <v>77</v>
      </c>
      <c r="E230" s="17" t="s">
        <v>128</v>
      </c>
      <c r="F230" s="17" t="s">
        <v>282</v>
      </c>
      <c r="G230" s="17">
        <v>67</v>
      </c>
      <c r="H230" s="17">
        <v>47</v>
      </c>
      <c r="I230" s="17" t="s">
        <v>934</v>
      </c>
      <c r="J230" s="17" t="s">
        <v>70</v>
      </c>
      <c r="K230" s="17" t="s">
        <v>81</v>
      </c>
      <c r="L230" s="17" t="s">
        <v>63</v>
      </c>
      <c r="M230" s="17" t="s">
        <v>560</v>
      </c>
      <c r="N230" s="18">
        <v>45796</v>
      </c>
      <c r="P230" s="17" t="s">
        <v>207</v>
      </c>
    </row>
    <row r="231" spans="1:16" x14ac:dyDescent="0.3">
      <c r="A231" s="17" t="s">
        <v>935</v>
      </c>
      <c r="B231" s="17" t="s">
        <v>936</v>
      </c>
      <c r="C231" s="17" t="s">
        <v>306</v>
      </c>
      <c r="D231" s="17" t="s">
        <v>249</v>
      </c>
      <c r="E231" s="17" t="s">
        <v>128</v>
      </c>
      <c r="F231" s="17" t="s">
        <v>712</v>
      </c>
      <c r="G231" s="17">
        <v>334</v>
      </c>
      <c r="H231" s="17">
        <v>295</v>
      </c>
      <c r="I231" s="17" t="s">
        <v>937</v>
      </c>
      <c r="J231" s="17" t="s">
        <v>143</v>
      </c>
      <c r="K231" s="17" t="s">
        <v>288</v>
      </c>
      <c r="L231" s="17" t="s">
        <v>102</v>
      </c>
      <c r="M231" s="18">
        <v>45743</v>
      </c>
      <c r="N231" s="17" t="s">
        <v>938</v>
      </c>
      <c r="O231" s="17" t="s">
        <v>836</v>
      </c>
      <c r="P231" s="17" t="s">
        <v>269</v>
      </c>
    </row>
    <row r="232" spans="1:16" x14ac:dyDescent="0.3">
      <c r="A232" s="17" t="s">
        <v>939</v>
      </c>
      <c r="C232" s="17" t="s">
        <v>133</v>
      </c>
      <c r="D232" s="17" t="s">
        <v>97</v>
      </c>
      <c r="E232" s="17" t="s">
        <v>78</v>
      </c>
      <c r="F232" s="17" t="s">
        <v>320</v>
      </c>
      <c r="G232" s="17">
        <v>282</v>
      </c>
      <c r="H232" s="17">
        <v>219</v>
      </c>
      <c r="I232" s="17" t="s">
        <v>940</v>
      </c>
      <c r="J232" s="17" t="s">
        <v>100</v>
      </c>
      <c r="K232" s="17" t="s">
        <v>101</v>
      </c>
      <c r="L232" s="17" t="s">
        <v>205</v>
      </c>
      <c r="M232" s="17" t="s">
        <v>941</v>
      </c>
      <c r="N232" s="18">
        <v>45876</v>
      </c>
      <c r="P232" s="17" t="s">
        <v>263</v>
      </c>
    </row>
    <row r="233" spans="1:16" x14ac:dyDescent="0.3">
      <c r="A233" s="17" t="s">
        <v>942</v>
      </c>
      <c r="B233" s="18">
        <v>45941</v>
      </c>
      <c r="C233" s="17" t="s">
        <v>204</v>
      </c>
      <c r="D233" s="17" t="s">
        <v>58</v>
      </c>
      <c r="E233" s="17" t="s">
        <v>67</v>
      </c>
      <c r="F233" s="17" t="s">
        <v>250</v>
      </c>
      <c r="G233" s="17">
        <v>213</v>
      </c>
      <c r="H233" s="17">
        <v>213</v>
      </c>
      <c r="I233" s="17">
        <v>985.23</v>
      </c>
      <c r="J233" s="17" t="s">
        <v>184</v>
      </c>
      <c r="K233" s="17" t="s">
        <v>92</v>
      </c>
      <c r="L233" s="17" t="s">
        <v>102</v>
      </c>
      <c r="P233" s="17" t="s">
        <v>104</v>
      </c>
    </row>
    <row r="234" spans="1:16" x14ac:dyDescent="0.3">
      <c r="A234" s="17" t="s">
        <v>943</v>
      </c>
      <c r="B234" s="17" t="s">
        <v>944</v>
      </c>
      <c r="C234" s="17" t="s">
        <v>216</v>
      </c>
      <c r="D234" s="17" t="s">
        <v>97</v>
      </c>
      <c r="E234" s="17" t="s">
        <v>542</v>
      </c>
      <c r="F234" s="17" t="s">
        <v>218</v>
      </c>
      <c r="G234" s="17">
        <v>35</v>
      </c>
      <c r="H234" s="17">
        <v>30</v>
      </c>
      <c r="I234" s="17" t="s">
        <v>945</v>
      </c>
      <c r="J234" s="17" t="s">
        <v>303</v>
      </c>
      <c r="K234" s="17" t="s">
        <v>71</v>
      </c>
      <c r="L234" s="17" t="s">
        <v>63</v>
      </c>
      <c r="M234" s="17" t="s">
        <v>946</v>
      </c>
      <c r="N234" s="18">
        <v>45829</v>
      </c>
      <c r="O234" s="17" t="s">
        <v>947</v>
      </c>
      <c r="P234" s="17" t="s">
        <v>269</v>
      </c>
    </row>
    <row r="235" spans="1:16" x14ac:dyDescent="0.3">
      <c r="A235" s="17" t="s">
        <v>948</v>
      </c>
      <c r="B235" s="18">
        <v>45765</v>
      </c>
      <c r="C235" s="17" t="s">
        <v>232</v>
      </c>
      <c r="D235" s="17" t="s">
        <v>97</v>
      </c>
      <c r="E235" s="17" t="s">
        <v>227</v>
      </c>
      <c r="F235" s="17" t="s">
        <v>228</v>
      </c>
      <c r="G235" s="17">
        <v>472</v>
      </c>
      <c r="H235" s="17">
        <v>330</v>
      </c>
      <c r="I235" s="17">
        <v>21522.32</v>
      </c>
      <c r="J235" s="17" t="s">
        <v>198</v>
      </c>
      <c r="K235" s="17" t="s">
        <v>129</v>
      </c>
      <c r="L235" s="17" t="s">
        <v>314</v>
      </c>
      <c r="M235" s="17" t="s">
        <v>570</v>
      </c>
      <c r="N235" s="17" t="s">
        <v>792</v>
      </c>
      <c r="P235" s="17" t="s">
        <v>729</v>
      </c>
    </row>
    <row r="236" spans="1:16" x14ac:dyDescent="0.3">
      <c r="A236" s="17" t="s">
        <v>949</v>
      </c>
      <c r="B236" s="17" t="s">
        <v>387</v>
      </c>
      <c r="C236" s="17" t="s">
        <v>147</v>
      </c>
      <c r="D236" s="17" t="s">
        <v>118</v>
      </c>
      <c r="E236" s="17" t="s">
        <v>510</v>
      </c>
      <c r="F236" s="17" t="s">
        <v>950</v>
      </c>
      <c r="G236" s="17">
        <v>353</v>
      </c>
      <c r="I236" s="17">
        <v>16198.27</v>
      </c>
      <c r="J236" s="17" t="s">
        <v>61</v>
      </c>
      <c r="K236" s="17" t="s">
        <v>62</v>
      </c>
      <c r="L236" s="17" t="s">
        <v>113</v>
      </c>
      <c r="P236" s="17" t="s">
        <v>429</v>
      </c>
    </row>
    <row r="237" spans="1:16" x14ac:dyDescent="0.3">
      <c r="A237" s="17" t="s">
        <v>951</v>
      </c>
      <c r="B237" s="17" t="s">
        <v>952</v>
      </c>
      <c r="C237" s="17" t="s">
        <v>165</v>
      </c>
      <c r="D237" s="17" t="s">
        <v>156</v>
      </c>
      <c r="E237" s="17" t="s">
        <v>555</v>
      </c>
      <c r="F237" s="17" t="s">
        <v>556</v>
      </c>
      <c r="G237" s="17">
        <v>137</v>
      </c>
      <c r="I237" s="17">
        <v>38518.230000000003</v>
      </c>
      <c r="J237" s="17" t="s">
        <v>80</v>
      </c>
      <c r="L237" s="17" t="s">
        <v>309</v>
      </c>
    </row>
    <row r="238" spans="1:16" x14ac:dyDescent="0.3">
      <c r="A238" s="17" t="s">
        <v>953</v>
      </c>
      <c r="C238" s="17" t="s">
        <v>281</v>
      </c>
      <c r="D238" s="17" t="s">
        <v>108</v>
      </c>
      <c r="E238" s="17" t="s">
        <v>514</v>
      </c>
      <c r="F238" s="17" t="s">
        <v>287</v>
      </c>
      <c r="G238" s="17">
        <v>190</v>
      </c>
      <c r="H238" s="17">
        <v>250</v>
      </c>
      <c r="I238" s="17">
        <v>2256.36</v>
      </c>
      <c r="J238" s="17" t="s">
        <v>184</v>
      </c>
      <c r="K238" s="17" t="s">
        <v>288</v>
      </c>
      <c r="L238" s="17" t="s">
        <v>276</v>
      </c>
      <c r="N238" s="18">
        <v>45749</v>
      </c>
      <c r="P238" s="17" t="s">
        <v>84</v>
      </c>
    </row>
    <row r="239" spans="1:16" x14ac:dyDescent="0.3">
      <c r="A239" s="17" t="s">
        <v>954</v>
      </c>
      <c r="B239" s="17" t="s">
        <v>955</v>
      </c>
      <c r="C239" s="17" t="s">
        <v>255</v>
      </c>
      <c r="D239" s="17" t="s">
        <v>226</v>
      </c>
      <c r="E239" s="17" t="s">
        <v>257</v>
      </c>
      <c r="F239" s="17" t="s">
        <v>418</v>
      </c>
      <c r="H239" s="17">
        <v>405</v>
      </c>
      <c r="J239" s="17" t="s">
        <v>198</v>
      </c>
      <c r="K239" s="17" t="s">
        <v>288</v>
      </c>
      <c r="L239" s="17" t="s">
        <v>122</v>
      </c>
      <c r="N239" s="17" t="s">
        <v>796</v>
      </c>
      <c r="O239" s="18">
        <v>45861</v>
      </c>
      <c r="P239" s="17" t="s">
        <v>115</v>
      </c>
    </row>
    <row r="240" spans="1:16" x14ac:dyDescent="0.3">
      <c r="A240" s="17" t="s">
        <v>956</v>
      </c>
      <c r="B240" s="17" t="s">
        <v>957</v>
      </c>
      <c r="C240" s="17" t="s">
        <v>147</v>
      </c>
      <c r="D240" s="17" t="s">
        <v>148</v>
      </c>
      <c r="E240" s="17" t="s">
        <v>257</v>
      </c>
      <c r="F240" s="17" t="s">
        <v>334</v>
      </c>
      <c r="G240" s="17">
        <v>237</v>
      </c>
      <c r="H240" s="17">
        <v>173</v>
      </c>
      <c r="I240" s="17" t="s">
        <v>958</v>
      </c>
      <c r="J240" s="17" t="s">
        <v>198</v>
      </c>
      <c r="K240" s="17" t="s">
        <v>199</v>
      </c>
      <c r="L240" s="17" t="s">
        <v>63</v>
      </c>
      <c r="M240" s="18">
        <v>45977</v>
      </c>
      <c r="N240" s="17" t="s">
        <v>959</v>
      </c>
      <c r="P240" s="17" t="s">
        <v>410</v>
      </c>
    </row>
    <row r="241" spans="1:16" x14ac:dyDescent="0.3">
      <c r="A241" s="17" t="s">
        <v>960</v>
      </c>
      <c r="B241" s="17" t="s">
        <v>961</v>
      </c>
      <c r="C241" s="17" t="s">
        <v>180</v>
      </c>
      <c r="D241" s="17" t="s">
        <v>97</v>
      </c>
      <c r="E241" s="17" t="s">
        <v>190</v>
      </c>
      <c r="F241" s="17" t="s">
        <v>228</v>
      </c>
      <c r="G241" s="17">
        <v>126</v>
      </c>
      <c r="H241" s="17">
        <v>120</v>
      </c>
      <c r="I241" s="17" t="s">
        <v>962</v>
      </c>
      <c r="J241" s="17" t="s">
        <v>191</v>
      </c>
      <c r="K241" s="17" t="s">
        <v>288</v>
      </c>
      <c r="L241" s="17" t="s">
        <v>102</v>
      </c>
      <c r="M241" s="17" t="s">
        <v>381</v>
      </c>
      <c r="O241" s="18">
        <v>45876</v>
      </c>
      <c r="P241" s="17" t="s">
        <v>242</v>
      </c>
    </row>
    <row r="242" spans="1:16" x14ac:dyDescent="0.3">
      <c r="A242" s="17" t="s">
        <v>963</v>
      </c>
      <c r="C242" s="17" t="s">
        <v>165</v>
      </c>
      <c r="D242" s="17" t="s">
        <v>249</v>
      </c>
      <c r="E242" s="17" t="s">
        <v>157</v>
      </c>
      <c r="F242" s="17" t="s">
        <v>307</v>
      </c>
      <c r="G242" s="17">
        <v>110</v>
      </c>
      <c r="H242" s="17">
        <v>77</v>
      </c>
      <c r="I242" s="17" t="s">
        <v>964</v>
      </c>
      <c r="J242" s="17" t="s">
        <v>198</v>
      </c>
      <c r="K242" s="17" t="s">
        <v>261</v>
      </c>
      <c r="L242" s="17" t="s">
        <v>284</v>
      </c>
      <c r="M242" s="18">
        <v>45910</v>
      </c>
      <c r="N242" s="18">
        <v>45915</v>
      </c>
      <c r="O242" s="18">
        <v>45927</v>
      </c>
      <c r="P242" s="17" t="s">
        <v>242</v>
      </c>
    </row>
    <row r="243" spans="1:16" x14ac:dyDescent="0.3">
      <c r="A243" s="17" t="s">
        <v>965</v>
      </c>
      <c r="C243" s="17" t="s">
        <v>299</v>
      </c>
      <c r="D243" s="17" t="s">
        <v>66</v>
      </c>
      <c r="E243" s="17" t="s">
        <v>119</v>
      </c>
      <c r="F243" s="17" t="s">
        <v>167</v>
      </c>
      <c r="G243" s="17">
        <v>419</v>
      </c>
      <c r="H243" s="17">
        <v>359</v>
      </c>
      <c r="I243" s="17" t="s">
        <v>966</v>
      </c>
      <c r="J243" s="17" t="s">
        <v>191</v>
      </c>
      <c r="K243" s="17" t="s">
        <v>251</v>
      </c>
      <c r="L243" s="17" t="s">
        <v>151</v>
      </c>
      <c r="M243" s="18">
        <v>45775</v>
      </c>
      <c r="P243" s="17" t="s">
        <v>104</v>
      </c>
    </row>
    <row r="244" spans="1:16" x14ac:dyDescent="0.3">
      <c r="A244" s="17" t="s">
        <v>967</v>
      </c>
      <c r="B244" s="17" t="s">
        <v>188</v>
      </c>
      <c r="C244" s="17" t="s">
        <v>328</v>
      </c>
      <c r="D244" s="17" t="s">
        <v>226</v>
      </c>
      <c r="E244" s="17" t="s">
        <v>217</v>
      </c>
      <c r="F244" s="17" t="s">
        <v>418</v>
      </c>
      <c r="G244" s="17">
        <v>265</v>
      </c>
      <c r="H244" s="17">
        <v>245</v>
      </c>
      <c r="I244" s="17">
        <v>16935.830000000002</v>
      </c>
      <c r="J244" s="17" t="s">
        <v>80</v>
      </c>
      <c r="K244" s="17" t="s">
        <v>212</v>
      </c>
      <c r="L244" s="17" t="s">
        <v>122</v>
      </c>
      <c r="M244" s="18">
        <v>45708</v>
      </c>
      <c r="N244" s="18">
        <v>45727</v>
      </c>
      <c r="O244" s="18">
        <v>45727</v>
      </c>
      <c r="P244" s="17" t="s">
        <v>84</v>
      </c>
    </row>
    <row r="245" spans="1:16" x14ac:dyDescent="0.3">
      <c r="A245" s="17" t="s">
        <v>968</v>
      </c>
      <c r="B245" s="17" t="s">
        <v>969</v>
      </c>
      <c r="C245" s="17" t="s">
        <v>378</v>
      </c>
      <c r="D245" s="17" t="s">
        <v>256</v>
      </c>
      <c r="E245" s="17" t="s">
        <v>140</v>
      </c>
      <c r="F245" s="17" t="s">
        <v>556</v>
      </c>
      <c r="G245" s="17">
        <v>0</v>
      </c>
      <c r="I245" s="17" t="s">
        <v>970</v>
      </c>
      <c r="J245" s="17" t="s">
        <v>229</v>
      </c>
      <c r="K245" s="17" t="s">
        <v>971</v>
      </c>
      <c r="L245" s="17" t="s">
        <v>82</v>
      </c>
      <c r="P245" s="17" t="s">
        <v>236</v>
      </c>
    </row>
    <row r="246" spans="1:16" x14ac:dyDescent="0.3">
      <c r="A246" s="17" t="s">
        <v>972</v>
      </c>
      <c r="C246" s="17" t="s">
        <v>293</v>
      </c>
      <c r="D246" s="17" t="s">
        <v>77</v>
      </c>
      <c r="E246" s="17" t="s">
        <v>302</v>
      </c>
      <c r="F246" s="17" t="s">
        <v>706</v>
      </c>
      <c r="G246" s="17">
        <v>133</v>
      </c>
      <c r="H246" s="17">
        <v>120</v>
      </c>
      <c r="I246" s="17">
        <v>12459.74</v>
      </c>
      <c r="J246" s="17" t="s">
        <v>347</v>
      </c>
      <c r="K246" s="17" t="s">
        <v>101</v>
      </c>
      <c r="L246" s="17" t="s">
        <v>113</v>
      </c>
      <c r="M246" s="18">
        <v>45947</v>
      </c>
      <c r="N246" s="17" t="s">
        <v>973</v>
      </c>
      <c r="P246" s="17" t="s">
        <v>222</v>
      </c>
    </row>
    <row r="247" spans="1:16" x14ac:dyDescent="0.3">
      <c r="A247" s="17" t="s">
        <v>974</v>
      </c>
      <c r="B247" s="17" t="s">
        <v>975</v>
      </c>
      <c r="C247" s="17" t="s">
        <v>127</v>
      </c>
      <c r="D247" s="17" t="s">
        <v>88</v>
      </c>
      <c r="E247" s="17" t="s">
        <v>257</v>
      </c>
      <c r="F247" s="17" t="s">
        <v>548</v>
      </c>
      <c r="G247" s="17">
        <v>399</v>
      </c>
      <c r="H247" s="17">
        <v>331</v>
      </c>
      <c r="I247" s="17" t="s">
        <v>976</v>
      </c>
      <c r="J247" s="17" t="s">
        <v>191</v>
      </c>
      <c r="K247" s="17" t="s">
        <v>112</v>
      </c>
      <c r="L247" s="17" t="s">
        <v>193</v>
      </c>
      <c r="N247" s="17" t="s">
        <v>977</v>
      </c>
      <c r="P247" s="17" t="s">
        <v>729</v>
      </c>
    </row>
    <row r="248" spans="1:16" x14ac:dyDescent="0.3">
      <c r="A248" s="17" t="s">
        <v>978</v>
      </c>
      <c r="B248" s="17" t="s">
        <v>979</v>
      </c>
      <c r="C248" s="17" t="s">
        <v>281</v>
      </c>
      <c r="D248" s="17" t="s">
        <v>118</v>
      </c>
      <c r="E248" s="17" t="s">
        <v>89</v>
      </c>
      <c r="F248" s="17" t="s">
        <v>444</v>
      </c>
      <c r="G248" s="17">
        <v>101</v>
      </c>
      <c r="H248" s="17">
        <v>99</v>
      </c>
      <c r="J248" s="17" t="s">
        <v>100</v>
      </c>
      <c r="K248" s="17" t="s">
        <v>288</v>
      </c>
      <c r="L248" s="17" t="s">
        <v>284</v>
      </c>
      <c r="M248" s="17" t="s">
        <v>980</v>
      </c>
      <c r="N248" s="18">
        <v>45774</v>
      </c>
      <c r="O248" s="17" t="s">
        <v>531</v>
      </c>
      <c r="P248" s="17" t="s">
        <v>74</v>
      </c>
    </row>
    <row r="249" spans="1:16" x14ac:dyDescent="0.3">
      <c r="A249" s="17" t="s">
        <v>981</v>
      </c>
      <c r="B249" s="18">
        <v>45693</v>
      </c>
      <c r="C249" s="17" t="s">
        <v>204</v>
      </c>
      <c r="D249" s="17" t="s">
        <v>66</v>
      </c>
      <c r="E249" s="17" t="s">
        <v>459</v>
      </c>
      <c r="F249" s="17" t="s">
        <v>444</v>
      </c>
      <c r="G249" s="17">
        <v>450</v>
      </c>
      <c r="I249" s="17" t="s">
        <v>982</v>
      </c>
      <c r="J249" s="17" t="s">
        <v>260</v>
      </c>
      <c r="K249" s="17" t="s">
        <v>707</v>
      </c>
      <c r="L249" s="17" t="s">
        <v>309</v>
      </c>
      <c r="P249" s="17" t="s">
        <v>501</v>
      </c>
    </row>
    <row r="250" spans="1:16" x14ac:dyDescent="0.3">
      <c r="A250" s="17" t="s">
        <v>983</v>
      </c>
      <c r="B250" s="17" t="s">
        <v>984</v>
      </c>
      <c r="C250" s="17" t="s">
        <v>232</v>
      </c>
      <c r="D250" s="17" t="s">
        <v>97</v>
      </c>
      <c r="E250" s="17" t="s">
        <v>985</v>
      </c>
      <c r="F250" s="17" t="s">
        <v>167</v>
      </c>
      <c r="G250" s="17">
        <v>363</v>
      </c>
      <c r="H250" s="17">
        <v>296</v>
      </c>
      <c r="I250" s="17" t="s">
        <v>986</v>
      </c>
      <c r="J250" s="17" t="s">
        <v>355</v>
      </c>
      <c r="K250" s="17" t="s">
        <v>261</v>
      </c>
      <c r="L250" s="17" t="s">
        <v>113</v>
      </c>
      <c r="M250" s="17" t="s">
        <v>987</v>
      </c>
      <c r="N250" s="17" t="s">
        <v>988</v>
      </c>
      <c r="O250" s="17" t="s">
        <v>989</v>
      </c>
      <c r="P250" s="17" t="s">
        <v>263</v>
      </c>
    </row>
    <row r="251" spans="1:16" x14ac:dyDescent="0.3">
      <c r="A251" s="17" t="s">
        <v>990</v>
      </c>
      <c r="B251" s="18">
        <v>45824</v>
      </c>
      <c r="C251" s="17" t="s">
        <v>57</v>
      </c>
      <c r="D251" s="17" t="s">
        <v>148</v>
      </c>
      <c r="E251" s="17" t="s">
        <v>363</v>
      </c>
      <c r="F251" s="17" t="s">
        <v>364</v>
      </c>
      <c r="G251" s="17">
        <v>111</v>
      </c>
      <c r="I251" s="17">
        <v>3432.82</v>
      </c>
      <c r="J251" s="17" t="s">
        <v>191</v>
      </c>
      <c r="K251" s="17" t="s">
        <v>300</v>
      </c>
      <c r="L251" s="17" t="s">
        <v>151</v>
      </c>
      <c r="P251" s="17" t="s">
        <v>501</v>
      </c>
    </row>
    <row r="252" spans="1:16" x14ac:dyDescent="0.3">
      <c r="A252" s="17" t="s">
        <v>991</v>
      </c>
      <c r="C252" s="17" t="s">
        <v>378</v>
      </c>
      <c r="D252" s="17" t="s">
        <v>424</v>
      </c>
      <c r="E252" s="17" t="s">
        <v>555</v>
      </c>
      <c r="F252" s="17" t="s">
        <v>556</v>
      </c>
      <c r="G252" s="17">
        <v>278</v>
      </c>
      <c r="I252" s="17" t="s">
        <v>992</v>
      </c>
      <c r="J252" s="17" t="s">
        <v>198</v>
      </c>
      <c r="K252" s="17" t="s">
        <v>408</v>
      </c>
      <c r="L252" s="17" t="s">
        <v>63</v>
      </c>
      <c r="P252" s="17" t="s">
        <v>591</v>
      </c>
    </row>
    <row r="253" spans="1:16" x14ac:dyDescent="0.3">
      <c r="A253" s="17" t="s">
        <v>993</v>
      </c>
      <c r="B253" s="18">
        <v>45851</v>
      </c>
      <c r="C253" s="17" t="s">
        <v>232</v>
      </c>
      <c r="D253" s="17" t="s">
        <v>97</v>
      </c>
      <c r="E253" s="17" t="s">
        <v>369</v>
      </c>
      <c r="F253" s="17" t="s">
        <v>370</v>
      </c>
      <c r="G253" s="17">
        <v>470</v>
      </c>
      <c r="H253" s="17">
        <v>388</v>
      </c>
      <c r="I253" s="17" t="s">
        <v>994</v>
      </c>
      <c r="J253" s="17" t="s">
        <v>260</v>
      </c>
      <c r="K253" s="17" t="s">
        <v>288</v>
      </c>
      <c r="L253" s="17" t="s">
        <v>93</v>
      </c>
      <c r="M253" s="17" t="s">
        <v>728</v>
      </c>
      <c r="O253" s="18">
        <v>45884</v>
      </c>
      <c r="P253" s="17" t="s">
        <v>74</v>
      </c>
    </row>
    <row r="254" spans="1:16" x14ac:dyDescent="0.3">
      <c r="A254" s="17" t="s">
        <v>995</v>
      </c>
      <c r="B254" s="17" t="s">
        <v>938</v>
      </c>
      <c r="C254" s="17" t="s">
        <v>299</v>
      </c>
      <c r="D254" s="17" t="s">
        <v>77</v>
      </c>
      <c r="E254" s="17" t="s">
        <v>369</v>
      </c>
      <c r="F254" s="17" t="s">
        <v>724</v>
      </c>
      <c r="G254" s="17">
        <v>337</v>
      </c>
      <c r="H254" s="17">
        <v>460</v>
      </c>
      <c r="I254" s="17" t="s">
        <v>996</v>
      </c>
      <c r="J254" s="17" t="s">
        <v>100</v>
      </c>
      <c r="K254" s="17" t="s">
        <v>175</v>
      </c>
      <c r="L254" s="17" t="s">
        <v>186</v>
      </c>
      <c r="M254" s="17" t="s">
        <v>853</v>
      </c>
      <c r="N254" s="17" t="s">
        <v>572</v>
      </c>
      <c r="P254" s="17" t="s">
        <v>104</v>
      </c>
    </row>
    <row r="255" spans="1:16" x14ac:dyDescent="0.3">
      <c r="A255" s="17" t="s">
        <v>997</v>
      </c>
      <c r="B255" s="17" t="s">
        <v>388</v>
      </c>
      <c r="C255" s="17" t="s">
        <v>65</v>
      </c>
      <c r="D255" s="17" t="s">
        <v>58</v>
      </c>
      <c r="E255" s="17" t="s">
        <v>683</v>
      </c>
      <c r="F255" s="17" t="s">
        <v>334</v>
      </c>
      <c r="G255" s="17">
        <v>-124</v>
      </c>
      <c r="H255" s="17">
        <v>91</v>
      </c>
      <c r="J255" s="17" t="s">
        <v>191</v>
      </c>
      <c r="K255" s="17" t="s">
        <v>450</v>
      </c>
      <c r="L255" s="17" t="s">
        <v>314</v>
      </c>
      <c r="M255" s="17" t="s">
        <v>998</v>
      </c>
      <c r="N255" s="17" t="s">
        <v>999</v>
      </c>
      <c r="P255" s="17" t="s">
        <v>230</v>
      </c>
    </row>
    <row r="256" spans="1:16" x14ac:dyDescent="0.3">
      <c r="A256" s="17" t="s">
        <v>1000</v>
      </c>
      <c r="B256" s="17" t="s">
        <v>1001</v>
      </c>
      <c r="C256" s="17" t="s">
        <v>238</v>
      </c>
      <c r="D256" s="17" t="s">
        <v>226</v>
      </c>
      <c r="E256" s="17" t="s">
        <v>810</v>
      </c>
      <c r="F256" s="17" t="s">
        <v>579</v>
      </c>
      <c r="G256" s="17">
        <v>415</v>
      </c>
      <c r="H256" s="17">
        <v>366</v>
      </c>
      <c r="I256" s="17">
        <v>17259.64</v>
      </c>
      <c r="J256" s="17" t="s">
        <v>61</v>
      </c>
      <c r="K256" s="17" t="s">
        <v>101</v>
      </c>
      <c r="L256" s="17" t="s">
        <v>239</v>
      </c>
      <c r="M256" s="18">
        <v>45839</v>
      </c>
      <c r="N256" s="17" t="s">
        <v>280</v>
      </c>
      <c r="P256" s="17" t="s">
        <v>252</v>
      </c>
    </row>
    <row r="257" spans="1:16" x14ac:dyDescent="0.3">
      <c r="A257" s="17" t="s">
        <v>1002</v>
      </c>
      <c r="B257" s="18">
        <v>45804</v>
      </c>
      <c r="C257" s="17" t="s">
        <v>332</v>
      </c>
      <c r="D257" s="17" t="s">
        <v>66</v>
      </c>
      <c r="E257" s="17" t="s">
        <v>1003</v>
      </c>
      <c r="F257" s="17" t="s">
        <v>579</v>
      </c>
      <c r="G257" s="17">
        <v>446</v>
      </c>
      <c r="H257" s="17">
        <v>442</v>
      </c>
      <c r="I257" s="17">
        <v>18011.259999999998</v>
      </c>
      <c r="J257" s="17" t="s">
        <v>303</v>
      </c>
      <c r="K257" s="17" t="s">
        <v>199</v>
      </c>
      <c r="L257" s="17" t="s">
        <v>409</v>
      </c>
      <c r="M257" s="18">
        <v>45807</v>
      </c>
      <c r="N257" s="18">
        <v>45827</v>
      </c>
      <c r="P257" s="17" t="s">
        <v>207</v>
      </c>
    </row>
    <row r="258" spans="1:16" x14ac:dyDescent="0.3">
      <c r="A258" s="17" t="s">
        <v>1004</v>
      </c>
      <c r="B258" s="18">
        <v>45758</v>
      </c>
      <c r="C258" s="17" t="s">
        <v>180</v>
      </c>
      <c r="D258" s="17" t="s">
        <v>88</v>
      </c>
      <c r="E258" s="17" t="s">
        <v>555</v>
      </c>
      <c r="F258" s="17" t="s">
        <v>274</v>
      </c>
      <c r="G258" s="17">
        <v>11</v>
      </c>
      <c r="H258" s="17">
        <v>8</v>
      </c>
      <c r="I258" s="17" t="s">
        <v>1005</v>
      </c>
      <c r="J258" s="17" t="s">
        <v>303</v>
      </c>
      <c r="K258" s="17" t="s">
        <v>251</v>
      </c>
      <c r="L258" s="17" t="s">
        <v>63</v>
      </c>
      <c r="M258" s="18">
        <v>45765</v>
      </c>
      <c r="N258" s="17" t="s">
        <v>1006</v>
      </c>
      <c r="P258" s="17" t="s">
        <v>247</v>
      </c>
    </row>
    <row r="259" spans="1:16" x14ac:dyDescent="0.3">
      <c r="A259" s="17" t="s">
        <v>1007</v>
      </c>
      <c r="B259" s="17" t="s">
        <v>1006</v>
      </c>
      <c r="C259" s="17" t="s">
        <v>117</v>
      </c>
      <c r="D259" s="17" t="s">
        <v>266</v>
      </c>
      <c r="E259" s="17" t="s">
        <v>472</v>
      </c>
      <c r="F259" s="17" t="s">
        <v>460</v>
      </c>
      <c r="G259" s="17">
        <v>362</v>
      </c>
      <c r="H259" s="17">
        <v>319</v>
      </c>
      <c r="I259" s="17">
        <v>42500.3</v>
      </c>
      <c r="J259" s="17" t="s">
        <v>143</v>
      </c>
      <c r="K259" s="17" t="s">
        <v>175</v>
      </c>
      <c r="L259" s="17" t="s">
        <v>314</v>
      </c>
      <c r="M259" s="17" t="s">
        <v>1008</v>
      </c>
      <c r="N259" s="18">
        <v>45798</v>
      </c>
      <c r="P259" s="17" t="s">
        <v>230</v>
      </c>
    </row>
    <row r="260" spans="1:16" x14ac:dyDescent="0.3">
      <c r="A260" s="17" t="s">
        <v>1009</v>
      </c>
      <c r="C260" s="17" t="s">
        <v>299</v>
      </c>
      <c r="D260" s="17" t="s">
        <v>58</v>
      </c>
      <c r="E260" s="17" t="s">
        <v>443</v>
      </c>
      <c r="F260" s="17" t="s">
        <v>339</v>
      </c>
      <c r="G260" s="17">
        <v>142</v>
      </c>
      <c r="H260" s="17">
        <v>116</v>
      </c>
      <c r="I260" s="17" t="s">
        <v>1010</v>
      </c>
      <c r="J260" s="17" t="s">
        <v>198</v>
      </c>
      <c r="K260" s="17" t="s">
        <v>175</v>
      </c>
      <c r="L260" s="17" t="s">
        <v>392</v>
      </c>
      <c r="M260" s="18">
        <v>45716</v>
      </c>
      <c r="N260" s="18">
        <v>45736</v>
      </c>
      <c r="P260" s="17" t="s">
        <v>433</v>
      </c>
    </row>
    <row r="261" spans="1:16" x14ac:dyDescent="0.3">
      <c r="A261" s="17" t="s">
        <v>1011</v>
      </c>
      <c r="B261" s="17" t="s">
        <v>431</v>
      </c>
      <c r="C261" s="17" t="s">
        <v>753</v>
      </c>
      <c r="D261" s="17" t="s">
        <v>249</v>
      </c>
      <c r="E261" s="17" t="s">
        <v>89</v>
      </c>
      <c r="F261" s="17" t="s">
        <v>444</v>
      </c>
      <c r="G261" s="17">
        <v>45</v>
      </c>
      <c r="H261" s="17">
        <v>35</v>
      </c>
      <c r="I261" s="17" t="s">
        <v>1012</v>
      </c>
      <c r="J261" s="17" t="s">
        <v>61</v>
      </c>
      <c r="K261" s="17" t="s">
        <v>261</v>
      </c>
      <c r="L261" s="17" t="s">
        <v>82</v>
      </c>
      <c r="M261" s="17" t="s">
        <v>1013</v>
      </c>
      <c r="N261" s="18">
        <v>46000</v>
      </c>
      <c r="O261" s="18">
        <v>46010</v>
      </c>
      <c r="P261" s="17" t="s">
        <v>236</v>
      </c>
    </row>
    <row r="262" spans="1:16" x14ac:dyDescent="0.3">
      <c r="A262" s="17" t="s">
        <v>1014</v>
      </c>
      <c r="B262" s="17" t="s">
        <v>442</v>
      </c>
      <c r="C262" s="17" t="s">
        <v>318</v>
      </c>
      <c r="D262" s="17" t="s">
        <v>118</v>
      </c>
      <c r="E262" s="17" t="s">
        <v>190</v>
      </c>
      <c r="F262" s="17" t="s">
        <v>250</v>
      </c>
      <c r="G262" s="17">
        <v>417</v>
      </c>
      <c r="H262" s="17">
        <v>379</v>
      </c>
      <c r="I262" s="17">
        <v>32676.13</v>
      </c>
      <c r="J262" s="17" t="s">
        <v>229</v>
      </c>
      <c r="K262" s="17" t="s">
        <v>129</v>
      </c>
      <c r="L262" s="17" t="s">
        <v>151</v>
      </c>
      <c r="N262" s="18">
        <v>45859</v>
      </c>
      <c r="P262" s="17" t="s">
        <v>591</v>
      </c>
    </row>
    <row r="263" spans="1:16" x14ac:dyDescent="0.3">
      <c r="A263" s="17" t="s">
        <v>1015</v>
      </c>
      <c r="B263" s="17" t="s">
        <v>617</v>
      </c>
      <c r="C263" s="17" t="s">
        <v>232</v>
      </c>
      <c r="D263" s="17" t="s">
        <v>97</v>
      </c>
      <c r="E263" s="17" t="s">
        <v>257</v>
      </c>
      <c r="F263" s="17" t="s">
        <v>334</v>
      </c>
      <c r="G263" s="17">
        <v>485</v>
      </c>
      <c r="H263" s="17">
        <v>483</v>
      </c>
      <c r="J263" s="17" t="s">
        <v>198</v>
      </c>
      <c r="K263" s="17" t="s">
        <v>261</v>
      </c>
      <c r="L263" s="17" t="s">
        <v>246</v>
      </c>
      <c r="M263" s="17" t="s">
        <v>1016</v>
      </c>
      <c r="N263" s="17" t="s">
        <v>688</v>
      </c>
      <c r="O263" s="17" t="s">
        <v>1017</v>
      </c>
      <c r="P263" s="17" t="s">
        <v>429</v>
      </c>
    </row>
    <row r="264" spans="1:16" x14ac:dyDescent="0.3">
      <c r="A264" s="17" t="s">
        <v>1018</v>
      </c>
      <c r="B264" s="17" t="s">
        <v>1019</v>
      </c>
      <c r="C264" s="17" t="s">
        <v>133</v>
      </c>
      <c r="D264" s="17" t="s">
        <v>272</v>
      </c>
      <c r="E264" s="17" t="s">
        <v>166</v>
      </c>
      <c r="F264" s="17" t="s">
        <v>120</v>
      </c>
      <c r="G264" s="17">
        <v>480</v>
      </c>
      <c r="H264" s="17">
        <v>446</v>
      </c>
      <c r="I264" s="17" t="s">
        <v>1020</v>
      </c>
      <c r="J264" s="17" t="s">
        <v>80</v>
      </c>
      <c r="K264" s="17" t="s">
        <v>261</v>
      </c>
      <c r="L264" s="17" t="s">
        <v>82</v>
      </c>
      <c r="M264" s="17" t="s">
        <v>397</v>
      </c>
      <c r="N264" s="17" t="s">
        <v>1021</v>
      </c>
      <c r="O264" s="17" t="s">
        <v>690</v>
      </c>
      <c r="P264" s="17" t="s">
        <v>115</v>
      </c>
    </row>
    <row r="265" spans="1:16" x14ac:dyDescent="0.3">
      <c r="A265" s="17" t="s">
        <v>1022</v>
      </c>
      <c r="B265" s="17" t="s">
        <v>1023</v>
      </c>
      <c r="C265" s="17" t="s">
        <v>518</v>
      </c>
      <c r="D265" s="17" t="s">
        <v>156</v>
      </c>
      <c r="E265" s="17" t="s">
        <v>119</v>
      </c>
      <c r="F265" s="17" t="s">
        <v>167</v>
      </c>
      <c r="G265" s="17">
        <v>386</v>
      </c>
      <c r="I265" s="17">
        <v>25841.83</v>
      </c>
      <c r="J265" s="17" t="s">
        <v>229</v>
      </c>
      <c r="K265" s="17" t="s">
        <v>185</v>
      </c>
      <c r="L265" s="17" t="s">
        <v>392</v>
      </c>
      <c r="P265" s="17" t="s">
        <v>247</v>
      </c>
    </row>
    <row r="266" spans="1:16" x14ac:dyDescent="0.3">
      <c r="A266" s="17" t="s">
        <v>1024</v>
      </c>
      <c r="B266" s="18">
        <v>45913</v>
      </c>
      <c r="C266" s="17" t="s">
        <v>232</v>
      </c>
      <c r="D266" s="17" t="s">
        <v>97</v>
      </c>
      <c r="E266" s="17" t="s">
        <v>59</v>
      </c>
      <c r="F266" s="17" t="s">
        <v>60</v>
      </c>
      <c r="G266" s="17">
        <v>79</v>
      </c>
      <c r="H266" s="17">
        <v>74</v>
      </c>
      <c r="I266" s="17">
        <v>1690.32</v>
      </c>
      <c r="J266" s="17" t="s">
        <v>191</v>
      </c>
      <c r="K266" s="17" t="s">
        <v>261</v>
      </c>
      <c r="L266" s="17" t="s">
        <v>151</v>
      </c>
      <c r="M266" s="18">
        <v>45919</v>
      </c>
      <c r="N266" s="17" t="s">
        <v>1025</v>
      </c>
      <c r="O266" s="17" t="s">
        <v>1026</v>
      </c>
      <c r="P266" s="17" t="s">
        <v>104</v>
      </c>
    </row>
    <row r="267" spans="1:16" x14ac:dyDescent="0.3">
      <c r="A267" s="17" t="s">
        <v>1027</v>
      </c>
      <c r="B267" s="18">
        <v>45938</v>
      </c>
      <c r="C267" s="17" t="s">
        <v>299</v>
      </c>
      <c r="D267" s="17" t="s">
        <v>351</v>
      </c>
      <c r="E267" s="17" t="s">
        <v>345</v>
      </c>
      <c r="F267" s="17" t="s">
        <v>556</v>
      </c>
      <c r="G267" s="17">
        <v>183</v>
      </c>
      <c r="I267" s="17">
        <v>23823.82</v>
      </c>
      <c r="J267" s="17" t="s">
        <v>355</v>
      </c>
      <c r="K267" s="17" t="s">
        <v>92</v>
      </c>
      <c r="L267" s="17" t="s">
        <v>485</v>
      </c>
      <c r="P267" s="17" t="s">
        <v>222</v>
      </c>
    </row>
    <row r="268" spans="1:16" x14ac:dyDescent="0.3">
      <c r="A268" s="17" t="s">
        <v>1028</v>
      </c>
      <c r="B268" s="17" t="s">
        <v>666</v>
      </c>
      <c r="C268" s="17" t="s">
        <v>358</v>
      </c>
      <c r="D268" s="17" t="s">
        <v>181</v>
      </c>
      <c r="E268" s="17" t="s">
        <v>210</v>
      </c>
      <c r="F268" s="17" t="s">
        <v>182</v>
      </c>
      <c r="G268" s="17">
        <v>197</v>
      </c>
      <c r="H268" s="17">
        <v>187</v>
      </c>
      <c r="I268" s="17">
        <v>41680.44</v>
      </c>
      <c r="J268" s="17" t="s">
        <v>61</v>
      </c>
      <c r="K268" s="17" t="s">
        <v>261</v>
      </c>
      <c r="L268" s="17" t="s">
        <v>122</v>
      </c>
      <c r="M268" s="17" t="s">
        <v>380</v>
      </c>
      <c r="N268" s="17" t="s">
        <v>1029</v>
      </c>
      <c r="O268" s="17" t="s">
        <v>1030</v>
      </c>
      <c r="P268" s="17" t="s">
        <v>729</v>
      </c>
    </row>
    <row r="269" spans="1:16" x14ac:dyDescent="0.3">
      <c r="A269" s="17" t="s">
        <v>1031</v>
      </c>
      <c r="C269" s="17" t="s">
        <v>439</v>
      </c>
      <c r="D269" s="17" t="s">
        <v>189</v>
      </c>
      <c r="E269" s="17" t="s">
        <v>128</v>
      </c>
      <c r="F269" s="17" t="s">
        <v>134</v>
      </c>
      <c r="G269" s="17">
        <v>67</v>
      </c>
      <c r="I269" s="17" t="s">
        <v>1032</v>
      </c>
      <c r="J269" s="17" t="s">
        <v>80</v>
      </c>
      <c r="K269" s="17" t="s">
        <v>62</v>
      </c>
      <c r="L269" s="17" t="s">
        <v>205</v>
      </c>
    </row>
    <row r="270" spans="1:16" x14ac:dyDescent="0.3">
      <c r="A270" s="17" t="s">
        <v>1033</v>
      </c>
      <c r="B270" s="17" t="s">
        <v>425</v>
      </c>
      <c r="C270" s="17" t="s">
        <v>133</v>
      </c>
      <c r="D270" s="17" t="s">
        <v>181</v>
      </c>
      <c r="E270" s="17" t="s">
        <v>369</v>
      </c>
      <c r="F270" s="17" t="s">
        <v>724</v>
      </c>
      <c r="G270" s="17">
        <v>270</v>
      </c>
      <c r="H270" s="17">
        <v>255</v>
      </c>
      <c r="I270" s="17">
        <v>29378.77</v>
      </c>
      <c r="J270" s="17" t="s">
        <v>355</v>
      </c>
      <c r="K270" s="17" t="s">
        <v>288</v>
      </c>
      <c r="L270" s="17" t="s">
        <v>205</v>
      </c>
      <c r="M270" s="18">
        <v>45946</v>
      </c>
      <c r="N270" s="17" t="s">
        <v>1034</v>
      </c>
      <c r="O270" s="18">
        <v>45970</v>
      </c>
      <c r="P270" s="17" t="s">
        <v>153</v>
      </c>
    </row>
    <row r="271" spans="1:16" x14ac:dyDescent="0.3">
      <c r="A271" s="17" t="s">
        <v>1035</v>
      </c>
      <c r="B271" s="17" t="s">
        <v>619</v>
      </c>
      <c r="C271" s="17" t="s">
        <v>753</v>
      </c>
      <c r="D271" s="17" t="s">
        <v>156</v>
      </c>
      <c r="E271" s="17" t="s">
        <v>78</v>
      </c>
      <c r="F271" s="17" t="s">
        <v>320</v>
      </c>
      <c r="G271" s="17">
        <v>360</v>
      </c>
      <c r="H271" s="17">
        <v>359</v>
      </c>
      <c r="I271" s="17" t="s">
        <v>1036</v>
      </c>
      <c r="J271" s="17" t="s">
        <v>191</v>
      </c>
      <c r="K271" s="17" t="s">
        <v>450</v>
      </c>
      <c r="L271" s="17" t="s">
        <v>246</v>
      </c>
      <c r="M271" s="18">
        <v>46004</v>
      </c>
      <c r="N271" s="17" t="s">
        <v>213</v>
      </c>
      <c r="P271" s="17" t="s">
        <v>373</v>
      </c>
    </row>
    <row r="272" spans="1:16" x14ac:dyDescent="0.3">
      <c r="A272" s="17" t="s">
        <v>1037</v>
      </c>
      <c r="B272" s="17" t="s">
        <v>979</v>
      </c>
      <c r="C272" s="17" t="s">
        <v>378</v>
      </c>
      <c r="D272" s="17" t="s">
        <v>226</v>
      </c>
      <c r="E272" s="17" t="s">
        <v>140</v>
      </c>
      <c r="F272" s="17" t="s">
        <v>662</v>
      </c>
      <c r="G272" s="17">
        <v>370</v>
      </c>
      <c r="I272" s="17">
        <v>29630.71</v>
      </c>
      <c r="J272" s="17" t="s">
        <v>198</v>
      </c>
      <c r="K272" s="17" t="s">
        <v>62</v>
      </c>
      <c r="L272" s="17" t="s">
        <v>82</v>
      </c>
    </row>
    <row r="273" spans="1:16" x14ac:dyDescent="0.3">
      <c r="A273" s="17" t="s">
        <v>1038</v>
      </c>
      <c r="B273" s="17" t="s">
        <v>788</v>
      </c>
      <c r="C273" s="17" t="s">
        <v>255</v>
      </c>
      <c r="D273" s="17" t="s">
        <v>256</v>
      </c>
      <c r="E273" s="17" t="s">
        <v>379</v>
      </c>
      <c r="F273" s="17" t="s">
        <v>579</v>
      </c>
      <c r="G273" s="17">
        <v>492</v>
      </c>
      <c r="I273" s="17" t="s">
        <v>1039</v>
      </c>
      <c r="J273" s="17" t="s">
        <v>303</v>
      </c>
      <c r="K273" s="17" t="s">
        <v>62</v>
      </c>
      <c r="L273" s="17" t="s">
        <v>276</v>
      </c>
      <c r="P273" s="17" t="s">
        <v>162</v>
      </c>
    </row>
    <row r="274" spans="1:16" x14ac:dyDescent="0.3">
      <c r="A274" s="17" t="s">
        <v>1040</v>
      </c>
      <c r="B274" s="17" t="s">
        <v>1041</v>
      </c>
      <c r="C274" s="17" t="s">
        <v>225</v>
      </c>
      <c r="D274" s="17" t="s">
        <v>58</v>
      </c>
      <c r="E274" s="17" t="s">
        <v>520</v>
      </c>
      <c r="F274" s="17" t="s">
        <v>141</v>
      </c>
      <c r="G274" s="17">
        <v>78</v>
      </c>
      <c r="H274" s="17">
        <v>55</v>
      </c>
      <c r="I274" s="17" t="s">
        <v>1042</v>
      </c>
      <c r="J274" s="17" t="s">
        <v>347</v>
      </c>
      <c r="K274" s="17" t="s">
        <v>288</v>
      </c>
      <c r="L274" s="17" t="s">
        <v>82</v>
      </c>
      <c r="N274" s="18">
        <v>45695</v>
      </c>
      <c r="O274" s="17" t="s">
        <v>1043</v>
      </c>
      <c r="P274" s="17" t="s">
        <v>230</v>
      </c>
    </row>
    <row r="275" spans="1:16" x14ac:dyDescent="0.3">
      <c r="A275" s="17" t="s">
        <v>1044</v>
      </c>
      <c r="B275" s="17" t="s">
        <v>1045</v>
      </c>
      <c r="C275" s="17" t="s">
        <v>639</v>
      </c>
      <c r="D275" s="17" t="s">
        <v>77</v>
      </c>
      <c r="E275" s="17" t="s">
        <v>166</v>
      </c>
      <c r="F275" s="17" t="s">
        <v>856</v>
      </c>
      <c r="G275" s="17">
        <v>418</v>
      </c>
      <c r="I275" s="17">
        <v>43303.16</v>
      </c>
      <c r="J275" s="17" t="s">
        <v>143</v>
      </c>
      <c r="K275" s="17" t="s">
        <v>408</v>
      </c>
      <c r="L275" s="17" t="s">
        <v>284</v>
      </c>
      <c r="P275" s="17" t="s">
        <v>153</v>
      </c>
    </row>
    <row r="276" spans="1:16" x14ac:dyDescent="0.3">
      <c r="A276" s="17" t="s">
        <v>1046</v>
      </c>
      <c r="B276" s="17" t="s">
        <v>200</v>
      </c>
      <c r="C276" s="17" t="s">
        <v>117</v>
      </c>
      <c r="D276" s="17" t="s">
        <v>148</v>
      </c>
      <c r="E276" s="17" t="s">
        <v>345</v>
      </c>
      <c r="F276" s="17" t="s">
        <v>662</v>
      </c>
      <c r="G276" s="17">
        <v>268</v>
      </c>
      <c r="H276" s="17">
        <v>334</v>
      </c>
      <c r="J276" s="17" t="s">
        <v>229</v>
      </c>
      <c r="K276" s="17" t="s">
        <v>251</v>
      </c>
      <c r="L276" s="17" t="s">
        <v>239</v>
      </c>
      <c r="M276" s="17" t="s">
        <v>1047</v>
      </c>
      <c r="N276" s="17" t="s">
        <v>1048</v>
      </c>
      <c r="P276" s="17" t="s">
        <v>230</v>
      </c>
    </row>
    <row r="277" spans="1:16" x14ac:dyDescent="0.3">
      <c r="A277" s="17" t="s">
        <v>1049</v>
      </c>
      <c r="B277" s="17" t="s">
        <v>599</v>
      </c>
      <c r="C277" s="17" t="s">
        <v>147</v>
      </c>
      <c r="D277" s="17" t="s">
        <v>266</v>
      </c>
      <c r="E277" s="17" t="s">
        <v>417</v>
      </c>
      <c r="F277" s="17" t="s">
        <v>548</v>
      </c>
      <c r="G277" s="17">
        <v>460</v>
      </c>
      <c r="I277" s="17" t="s">
        <v>1050</v>
      </c>
      <c r="J277" s="17" t="s">
        <v>61</v>
      </c>
      <c r="K277" s="17" t="s">
        <v>300</v>
      </c>
      <c r="L277" s="17" t="s">
        <v>186</v>
      </c>
      <c r="P277" s="17" t="s">
        <v>278</v>
      </c>
    </row>
    <row r="278" spans="1:16" x14ac:dyDescent="0.3">
      <c r="A278" s="17" t="s">
        <v>1051</v>
      </c>
      <c r="C278" s="17" t="s">
        <v>180</v>
      </c>
      <c r="D278" s="17" t="s">
        <v>97</v>
      </c>
      <c r="E278" s="17" t="s">
        <v>683</v>
      </c>
      <c r="F278" s="17" t="s">
        <v>418</v>
      </c>
      <c r="G278" s="17">
        <v>188</v>
      </c>
      <c r="I278" s="17" t="s">
        <v>1052</v>
      </c>
      <c r="J278" s="17" t="s">
        <v>70</v>
      </c>
      <c r="K278" s="17" t="s">
        <v>92</v>
      </c>
      <c r="L278" s="17" t="s">
        <v>63</v>
      </c>
      <c r="P278" s="17" t="s">
        <v>162</v>
      </c>
    </row>
    <row r="279" spans="1:16" x14ac:dyDescent="0.3">
      <c r="A279" s="17" t="s">
        <v>1053</v>
      </c>
      <c r="B279" s="18">
        <v>45714</v>
      </c>
      <c r="C279" s="17" t="s">
        <v>225</v>
      </c>
      <c r="D279" s="17" t="s">
        <v>77</v>
      </c>
      <c r="E279" s="17" t="s">
        <v>514</v>
      </c>
      <c r="F279" s="17" t="s">
        <v>460</v>
      </c>
      <c r="G279" s="17">
        <v>84</v>
      </c>
      <c r="H279" s="17">
        <v>109</v>
      </c>
      <c r="I279" s="17" t="s">
        <v>1054</v>
      </c>
      <c r="J279" s="17" t="s">
        <v>80</v>
      </c>
      <c r="K279" s="17" t="s">
        <v>288</v>
      </c>
      <c r="L279" s="17" t="s">
        <v>82</v>
      </c>
      <c r="M279" s="18">
        <v>45720</v>
      </c>
      <c r="N279" s="17" t="s">
        <v>1055</v>
      </c>
      <c r="O279" s="17" t="s">
        <v>1056</v>
      </c>
      <c r="P279" s="17" t="s">
        <v>393</v>
      </c>
    </row>
    <row r="280" spans="1:16" x14ac:dyDescent="0.3">
      <c r="A280" s="17" t="s">
        <v>1057</v>
      </c>
      <c r="C280" s="17" t="s">
        <v>358</v>
      </c>
      <c r="D280" s="17" t="s">
        <v>181</v>
      </c>
      <c r="E280" s="17" t="s">
        <v>140</v>
      </c>
      <c r="F280" s="17" t="s">
        <v>359</v>
      </c>
      <c r="G280" s="17">
        <v>103</v>
      </c>
      <c r="I280" s="17" t="s">
        <v>1058</v>
      </c>
      <c r="J280" s="17" t="s">
        <v>160</v>
      </c>
      <c r="K280" s="17" t="s">
        <v>192</v>
      </c>
      <c r="L280" s="17" t="s">
        <v>113</v>
      </c>
    </row>
    <row r="281" spans="1:16" x14ac:dyDescent="0.3">
      <c r="A281" s="17" t="s">
        <v>1059</v>
      </c>
      <c r="C281" s="17" t="s">
        <v>107</v>
      </c>
      <c r="D281" s="17" t="s">
        <v>77</v>
      </c>
      <c r="E281" s="17" t="s">
        <v>233</v>
      </c>
      <c r="F281" s="17" t="s">
        <v>370</v>
      </c>
      <c r="G281" s="17">
        <v>151</v>
      </c>
      <c r="H281" s="17">
        <v>110</v>
      </c>
      <c r="I281" s="17">
        <v>8440.07</v>
      </c>
      <c r="J281" s="17" t="s">
        <v>143</v>
      </c>
      <c r="K281" s="17" t="s">
        <v>71</v>
      </c>
      <c r="L281" s="17" t="s">
        <v>392</v>
      </c>
      <c r="O281" s="17" t="s">
        <v>428</v>
      </c>
      <c r="P281" s="17" t="s">
        <v>429</v>
      </c>
    </row>
    <row r="282" spans="1:16" x14ac:dyDescent="0.3">
      <c r="A282" s="17" t="s">
        <v>1060</v>
      </c>
      <c r="B282" s="17" t="s">
        <v>1061</v>
      </c>
      <c r="C282" s="17" t="s">
        <v>155</v>
      </c>
      <c r="D282" s="17" t="s">
        <v>249</v>
      </c>
      <c r="E282" s="17" t="s">
        <v>542</v>
      </c>
      <c r="F282" s="17" t="s">
        <v>258</v>
      </c>
      <c r="G282" s="17">
        <v>376</v>
      </c>
      <c r="H282" s="17">
        <v>323</v>
      </c>
      <c r="I282" s="17">
        <v>7042.21</v>
      </c>
      <c r="J282" s="17" t="s">
        <v>229</v>
      </c>
      <c r="K282" s="17" t="s">
        <v>261</v>
      </c>
      <c r="L282" s="17" t="s">
        <v>151</v>
      </c>
      <c r="M282" s="18">
        <v>45699</v>
      </c>
      <c r="N282" s="18">
        <v>45710</v>
      </c>
      <c r="O282" s="17" t="s">
        <v>977</v>
      </c>
      <c r="P282" s="17" t="s">
        <v>162</v>
      </c>
    </row>
    <row r="283" spans="1:16" x14ac:dyDescent="0.3">
      <c r="A283" s="17" t="s">
        <v>1062</v>
      </c>
      <c r="B283" s="18">
        <v>45911</v>
      </c>
      <c r="C283" s="17" t="s">
        <v>147</v>
      </c>
      <c r="D283" s="17" t="s">
        <v>118</v>
      </c>
      <c r="E283" s="17" t="s">
        <v>1003</v>
      </c>
      <c r="F283" s="17" t="s">
        <v>158</v>
      </c>
      <c r="G283" s="17">
        <v>229</v>
      </c>
      <c r="H283" s="17">
        <v>213</v>
      </c>
      <c r="I283" s="17">
        <v>18128.080000000002</v>
      </c>
      <c r="J283" s="17" t="s">
        <v>100</v>
      </c>
      <c r="K283" s="17" t="s">
        <v>261</v>
      </c>
      <c r="L283" s="17" t="s">
        <v>122</v>
      </c>
      <c r="N283" s="18">
        <v>45927</v>
      </c>
      <c r="P283" s="17" t="s">
        <v>433</v>
      </c>
    </row>
    <row r="284" spans="1:16" x14ac:dyDescent="0.3">
      <c r="A284" s="17" t="s">
        <v>1063</v>
      </c>
      <c r="B284" s="18">
        <v>45765</v>
      </c>
      <c r="C284" s="17" t="s">
        <v>1064</v>
      </c>
      <c r="D284" s="17" t="s">
        <v>88</v>
      </c>
      <c r="E284" s="17" t="s">
        <v>149</v>
      </c>
      <c r="F284" s="17" t="s">
        <v>468</v>
      </c>
      <c r="G284" s="17">
        <v>328</v>
      </c>
      <c r="H284" s="17">
        <v>237</v>
      </c>
      <c r="I284" s="17" t="s">
        <v>1065</v>
      </c>
      <c r="J284" s="17" t="s">
        <v>61</v>
      </c>
      <c r="K284" s="17" t="s">
        <v>129</v>
      </c>
      <c r="L284" s="17" t="s">
        <v>151</v>
      </c>
      <c r="M284" s="17" t="s">
        <v>531</v>
      </c>
      <c r="P284" s="17" t="s">
        <v>201</v>
      </c>
    </row>
    <row r="285" spans="1:16" x14ac:dyDescent="0.3">
      <c r="A285" s="17" t="s">
        <v>1066</v>
      </c>
      <c r="B285" s="17" t="s">
        <v>124</v>
      </c>
      <c r="C285" s="17" t="s">
        <v>238</v>
      </c>
      <c r="D285" s="17" t="s">
        <v>424</v>
      </c>
      <c r="E285" s="17" t="s">
        <v>78</v>
      </c>
      <c r="F285" s="17" t="s">
        <v>79</v>
      </c>
      <c r="G285" s="17">
        <v>302</v>
      </c>
      <c r="H285" s="17">
        <v>247</v>
      </c>
      <c r="I285" s="17" t="s">
        <v>1067</v>
      </c>
      <c r="J285" s="17" t="s">
        <v>143</v>
      </c>
      <c r="L285" s="17" t="s">
        <v>122</v>
      </c>
      <c r="M285" s="18">
        <v>45891</v>
      </c>
      <c r="N285" s="18">
        <v>45907</v>
      </c>
      <c r="P285" s="17" t="s">
        <v>729</v>
      </c>
    </row>
    <row r="286" spans="1:16" x14ac:dyDescent="0.3">
      <c r="A286" s="17" t="s">
        <v>1068</v>
      </c>
      <c r="B286" s="18">
        <v>45709</v>
      </c>
      <c r="C286" s="17" t="s">
        <v>57</v>
      </c>
      <c r="D286" s="17" t="s">
        <v>77</v>
      </c>
      <c r="E286" s="17" t="s">
        <v>257</v>
      </c>
      <c r="F286" s="17" t="s">
        <v>334</v>
      </c>
      <c r="G286" s="17">
        <v>313</v>
      </c>
      <c r="H286" s="17">
        <v>229</v>
      </c>
      <c r="I286" s="17" t="s">
        <v>1069</v>
      </c>
      <c r="J286" s="17" t="s">
        <v>191</v>
      </c>
      <c r="K286" s="17" t="s">
        <v>71</v>
      </c>
      <c r="L286" s="17" t="s">
        <v>63</v>
      </c>
      <c r="M286" s="18">
        <v>45710</v>
      </c>
      <c r="N286" s="17" t="s">
        <v>1070</v>
      </c>
      <c r="O286" s="18">
        <v>45721</v>
      </c>
      <c r="P286" s="17" t="s">
        <v>115</v>
      </c>
    </row>
    <row r="287" spans="1:16" x14ac:dyDescent="0.3">
      <c r="A287" s="17" t="s">
        <v>1057</v>
      </c>
      <c r="C287" s="17" t="s">
        <v>358</v>
      </c>
      <c r="D287" s="17" t="s">
        <v>181</v>
      </c>
      <c r="E287" s="17" t="s">
        <v>140</v>
      </c>
      <c r="F287" s="17" t="s">
        <v>359</v>
      </c>
      <c r="G287" s="17">
        <v>103</v>
      </c>
      <c r="I287" s="17" t="s">
        <v>1058</v>
      </c>
      <c r="J287" s="17" t="s">
        <v>160</v>
      </c>
      <c r="K287" s="17" t="s">
        <v>192</v>
      </c>
      <c r="L287" s="17" t="s">
        <v>113</v>
      </c>
    </row>
    <row r="288" spans="1:16" x14ac:dyDescent="0.3">
      <c r="A288" s="17" t="s">
        <v>441</v>
      </c>
      <c r="B288" s="17" t="s">
        <v>442</v>
      </c>
      <c r="C288" s="17" t="s">
        <v>299</v>
      </c>
      <c r="D288" s="17" t="s">
        <v>351</v>
      </c>
      <c r="E288" s="17" t="s">
        <v>443</v>
      </c>
      <c r="F288" s="17" t="s">
        <v>444</v>
      </c>
      <c r="G288" s="17">
        <v>65</v>
      </c>
      <c r="I288" s="17" t="s">
        <v>445</v>
      </c>
      <c r="J288" s="17" t="s">
        <v>347</v>
      </c>
      <c r="K288" s="17" t="s">
        <v>92</v>
      </c>
      <c r="L288" s="17" t="s">
        <v>151</v>
      </c>
    </row>
    <row r="289" spans="1:16" x14ac:dyDescent="0.3">
      <c r="A289" s="17" t="s">
        <v>145</v>
      </c>
      <c r="B289" s="17" t="s">
        <v>146</v>
      </c>
      <c r="C289" s="17" t="s">
        <v>147</v>
      </c>
      <c r="D289" s="17" t="s">
        <v>148</v>
      </c>
      <c r="E289" s="17" t="s">
        <v>149</v>
      </c>
      <c r="F289" s="17" t="s">
        <v>150</v>
      </c>
      <c r="G289" s="17">
        <v>404</v>
      </c>
      <c r="H289" s="17">
        <v>400</v>
      </c>
      <c r="I289" s="17">
        <v>33764.07</v>
      </c>
      <c r="J289" s="17" t="s">
        <v>100</v>
      </c>
      <c r="K289" s="17" t="s">
        <v>71</v>
      </c>
      <c r="L289" s="17" t="s">
        <v>151</v>
      </c>
      <c r="M289" s="18">
        <v>45769</v>
      </c>
      <c r="N289" s="17" t="s">
        <v>152</v>
      </c>
      <c r="O289" s="17" t="s">
        <v>72</v>
      </c>
      <c r="P289" s="17" t="s">
        <v>153</v>
      </c>
    </row>
    <row r="290" spans="1:16" x14ac:dyDescent="0.3">
      <c r="A290" s="17" t="s">
        <v>237</v>
      </c>
      <c r="B290" s="18">
        <v>45708</v>
      </c>
      <c r="C290" s="17" t="s">
        <v>238</v>
      </c>
      <c r="D290" s="17" t="s">
        <v>226</v>
      </c>
      <c r="E290" s="17" t="s">
        <v>149</v>
      </c>
      <c r="F290" s="17" t="s">
        <v>234</v>
      </c>
      <c r="G290" s="17">
        <v>140</v>
      </c>
      <c r="H290" s="17">
        <v>105</v>
      </c>
      <c r="I290" s="17">
        <v>3516.66</v>
      </c>
      <c r="J290" s="17" t="s">
        <v>191</v>
      </c>
      <c r="K290" s="17" t="s">
        <v>71</v>
      </c>
      <c r="L290" s="17" t="s">
        <v>239</v>
      </c>
      <c r="M290" s="17" t="s">
        <v>130</v>
      </c>
      <c r="N290" s="17" t="s">
        <v>240</v>
      </c>
      <c r="O290" s="17" t="s">
        <v>241</v>
      </c>
      <c r="P290" s="17" t="s">
        <v>242</v>
      </c>
    </row>
    <row r="291" spans="1:16" x14ac:dyDescent="0.3">
      <c r="A291" s="17" t="s">
        <v>399</v>
      </c>
      <c r="B291" s="18">
        <v>45950</v>
      </c>
      <c r="C291" s="17" t="s">
        <v>117</v>
      </c>
      <c r="D291" s="17" t="s">
        <v>294</v>
      </c>
      <c r="E291" s="17" t="s">
        <v>400</v>
      </c>
      <c r="F291" s="17" t="s">
        <v>60</v>
      </c>
      <c r="G291" s="17">
        <v>460</v>
      </c>
      <c r="I291" s="17" t="s">
        <v>401</v>
      </c>
      <c r="J291" s="17" t="s">
        <v>100</v>
      </c>
      <c r="K291" s="17" t="s">
        <v>300</v>
      </c>
      <c r="L291" s="17" t="s">
        <v>276</v>
      </c>
      <c r="P291" s="17" t="s">
        <v>207</v>
      </c>
    </row>
    <row r="292" spans="1:16" x14ac:dyDescent="0.3">
      <c r="A292" s="17" t="s">
        <v>1057</v>
      </c>
      <c r="C292" s="17" t="s">
        <v>358</v>
      </c>
      <c r="D292" s="17" t="s">
        <v>181</v>
      </c>
      <c r="E292" s="17" t="s">
        <v>140</v>
      </c>
      <c r="F292" s="17" t="s">
        <v>359</v>
      </c>
      <c r="G292" s="17">
        <v>103</v>
      </c>
      <c r="I292" s="17" t="s">
        <v>1058</v>
      </c>
      <c r="J292" s="17" t="s">
        <v>160</v>
      </c>
      <c r="K292" s="17" t="s">
        <v>192</v>
      </c>
      <c r="L292" s="17" t="s">
        <v>113</v>
      </c>
    </row>
    <row r="293" spans="1:16" x14ac:dyDescent="0.3">
      <c r="A293" s="17" t="s">
        <v>726</v>
      </c>
      <c r="B293" s="17" t="s">
        <v>505</v>
      </c>
      <c r="C293" s="17" t="s">
        <v>518</v>
      </c>
      <c r="D293" s="17" t="s">
        <v>189</v>
      </c>
      <c r="E293" s="17" t="s">
        <v>400</v>
      </c>
      <c r="F293" s="17" t="s">
        <v>134</v>
      </c>
      <c r="G293" s="17">
        <v>348</v>
      </c>
      <c r="H293" s="17">
        <v>263</v>
      </c>
      <c r="I293" s="17">
        <v>15601.94</v>
      </c>
      <c r="J293" s="17" t="s">
        <v>100</v>
      </c>
      <c r="K293" s="17" t="s">
        <v>288</v>
      </c>
      <c r="L293" s="17" t="s">
        <v>205</v>
      </c>
      <c r="M293" s="17" t="s">
        <v>522</v>
      </c>
      <c r="N293" s="17" t="s">
        <v>727</v>
      </c>
      <c r="O293" s="17" t="s">
        <v>728</v>
      </c>
      <c r="P293" s="17" t="s">
        <v>729</v>
      </c>
    </row>
    <row r="294" spans="1:16" x14ac:dyDescent="0.3">
      <c r="A294" s="17" t="s">
        <v>399</v>
      </c>
      <c r="B294" s="18">
        <v>45950</v>
      </c>
      <c r="C294" s="17" t="s">
        <v>117</v>
      </c>
      <c r="D294" s="17" t="s">
        <v>294</v>
      </c>
      <c r="E294" s="17" t="s">
        <v>400</v>
      </c>
      <c r="F294" s="17" t="s">
        <v>60</v>
      </c>
      <c r="G294" s="17">
        <v>460</v>
      </c>
      <c r="I294" s="17" t="s">
        <v>401</v>
      </c>
      <c r="J294" s="17" t="s">
        <v>100</v>
      </c>
      <c r="K294" s="17" t="s">
        <v>300</v>
      </c>
      <c r="L294" s="17" t="s">
        <v>276</v>
      </c>
      <c r="P294" s="17" t="s">
        <v>207</v>
      </c>
    </row>
    <row r="295" spans="1:16" x14ac:dyDescent="0.3">
      <c r="A295" s="17" t="s">
        <v>1015</v>
      </c>
      <c r="B295" s="17" t="s">
        <v>617</v>
      </c>
      <c r="C295" s="17" t="s">
        <v>232</v>
      </c>
      <c r="D295" s="17" t="s">
        <v>97</v>
      </c>
      <c r="E295" s="17" t="s">
        <v>257</v>
      </c>
      <c r="F295" s="17" t="s">
        <v>334</v>
      </c>
      <c r="G295" s="17">
        <v>485</v>
      </c>
      <c r="H295" s="17">
        <v>483</v>
      </c>
      <c r="J295" s="17" t="s">
        <v>198</v>
      </c>
      <c r="K295" s="17" t="s">
        <v>261</v>
      </c>
      <c r="L295" s="17" t="s">
        <v>246</v>
      </c>
      <c r="M295" s="17" t="s">
        <v>1016</v>
      </c>
      <c r="N295" s="17" t="s">
        <v>688</v>
      </c>
      <c r="O295" s="17" t="s">
        <v>1017</v>
      </c>
      <c r="P295" s="17" t="s">
        <v>429</v>
      </c>
    </row>
    <row r="296" spans="1:16" x14ac:dyDescent="0.3">
      <c r="A296" s="17" t="s">
        <v>891</v>
      </c>
      <c r="B296" s="17" t="s">
        <v>892</v>
      </c>
      <c r="C296" s="17" t="s">
        <v>378</v>
      </c>
      <c r="D296" s="17" t="s">
        <v>226</v>
      </c>
      <c r="E296" s="17" t="s">
        <v>391</v>
      </c>
      <c r="F296" s="17" t="s">
        <v>98</v>
      </c>
      <c r="G296" s="17">
        <v>470</v>
      </c>
      <c r="H296" s="17">
        <v>423</v>
      </c>
      <c r="J296" s="17" t="s">
        <v>303</v>
      </c>
      <c r="K296" s="17" t="s">
        <v>112</v>
      </c>
      <c r="L296" s="17" t="s">
        <v>284</v>
      </c>
      <c r="M296" s="17" t="s">
        <v>893</v>
      </c>
      <c r="N296" s="18">
        <v>45690</v>
      </c>
      <c r="P296" s="17" t="s">
        <v>94</v>
      </c>
    </row>
    <row r="297" spans="1:16" x14ac:dyDescent="0.3">
      <c r="A297" s="17" t="s">
        <v>474</v>
      </c>
      <c r="B297" s="17" t="s">
        <v>475</v>
      </c>
      <c r="C297" s="17" t="s">
        <v>476</v>
      </c>
      <c r="D297" s="17" t="s">
        <v>66</v>
      </c>
      <c r="E297" s="17" t="s">
        <v>477</v>
      </c>
      <c r="F297" s="17" t="s">
        <v>167</v>
      </c>
      <c r="G297" s="17">
        <v>11</v>
      </c>
      <c r="J297" s="17" t="s">
        <v>229</v>
      </c>
      <c r="K297" s="17" t="s">
        <v>192</v>
      </c>
      <c r="L297" s="17" t="s">
        <v>276</v>
      </c>
      <c r="P297" s="17" t="s">
        <v>478</v>
      </c>
    </row>
    <row r="298" spans="1:16" x14ac:dyDescent="0.3">
      <c r="A298" s="17" t="s">
        <v>55</v>
      </c>
      <c r="B298" s="17" t="s">
        <v>56</v>
      </c>
      <c r="C298" s="17" t="s">
        <v>57</v>
      </c>
      <c r="D298" s="17" t="s">
        <v>58</v>
      </c>
      <c r="E298" s="17" t="s">
        <v>59</v>
      </c>
      <c r="F298" s="17" t="s">
        <v>60</v>
      </c>
      <c r="G298" s="17">
        <v>307</v>
      </c>
      <c r="I298" s="17">
        <v>1486.41</v>
      </c>
      <c r="J298" s="17" t="s">
        <v>61</v>
      </c>
      <c r="K298" s="17" t="s">
        <v>62</v>
      </c>
      <c r="L298" s="17" t="s">
        <v>63</v>
      </c>
    </row>
    <row r="299" spans="1:16" x14ac:dyDescent="0.3">
      <c r="A299" s="17" t="s">
        <v>614</v>
      </c>
      <c r="B299" s="17" t="s">
        <v>615</v>
      </c>
      <c r="C299" s="17" t="s">
        <v>489</v>
      </c>
      <c r="D299" s="17" t="s">
        <v>266</v>
      </c>
      <c r="E299" s="17" t="s">
        <v>369</v>
      </c>
      <c r="F299" s="17" t="s">
        <v>370</v>
      </c>
      <c r="G299" s="17">
        <v>340</v>
      </c>
      <c r="H299" s="17">
        <v>275</v>
      </c>
      <c r="I299" s="17" t="s">
        <v>616</v>
      </c>
      <c r="J299" s="17" t="s">
        <v>143</v>
      </c>
      <c r="K299" s="17" t="s">
        <v>288</v>
      </c>
      <c r="L299" s="17" t="s">
        <v>82</v>
      </c>
      <c r="M299" s="17" t="s">
        <v>617</v>
      </c>
      <c r="N299" s="17" t="s">
        <v>618</v>
      </c>
      <c r="O299" s="17" t="s">
        <v>619</v>
      </c>
      <c r="P299" s="17" t="s">
        <v>207</v>
      </c>
    </row>
    <row r="300" spans="1:16" x14ac:dyDescent="0.3">
      <c r="A300" s="17" t="s">
        <v>163</v>
      </c>
      <c r="B300" s="17" t="s">
        <v>164</v>
      </c>
      <c r="C300" s="17" t="s">
        <v>165</v>
      </c>
      <c r="D300" s="17" t="s">
        <v>156</v>
      </c>
      <c r="E300" s="17" t="s">
        <v>166</v>
      </c>
      <c r="F300" s="17" t="s">
        <v>167</v>
      </c>
      <c r="G300" s="17">
        <v>264</v>
      </c>
      <c r="H300" s="17">
        <v>216</v>
      </c>
      <c r="I300" s="17">
        <v>13410.14</v>
      </c>
      <c r="J300" s="17" t="s">
        <v>61</v>
      </c>
      <c r="K300" s="17" t="s">
        <v>81</v>
      </c>
      <c r="L300" s="17" t="s">
        <v>113</v>
      </c>
      <c r="M300" s="17" t="s">
        <v>168</v>
      </c>
      <c r="N300" s="17" t="s">
        <v>169</v>
      </c>
      <c r="P300" s="17" t="s">
        <v>170</v>
      </c>
    </row>
    <row r="301" spans="1:16" x14ac:dyDescent="0.3">
      <c r="A301" s="17" t="s">
        <v>623</v>
      </c>
      <c r="B301" s="17" t="s">
        <v>624</v>
      </c>
      <c r="C301" s="17" t="s">
        <v>299</v>
      </c>
      <c r="D301" s="17" t="s">
        <v>66</v>
      </c>
      <c r="E301" s="17" t="s">
        <v>379</v>
      </c>
      <c r="F301" s="17" t="s">
        <v>579</v>
      </c>
      <c r="G301" s="17">
        <v>417</v>
      </c>
      <c r="H301" s="17">
        <v>379</v>
      </c>
      <c r="I301" s="17" t="s">
        <v>625</v>
      </c>
      <c r="J301" s="17" t="s">
        <v>143</v>
      </c>
      <c r="K301" s="17" t="s">
        <v>212</v>
      </c>
      <c r="L301" s="17" t="s">
        <v>276</v>
      </c>
      <c r="M301" s="18">
        <v>45866</v>
      </c>
      <c r="O301" s="18">
        <v>45905</v>
      </c>
      <c r="P301" s="17" t="s">
        <v>349</v>
      </c>
    </row>
  </sheetData>
  <autoFilter ref="A1:P301" xr:uid="{00000000-0009-0000-0000-000001000000}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H18"/>
  <sheetViews>
    <sheetView showGridLines="0" zoomScaleNormal="100" workbookViewId="0"/>
  </sheetViews>
  <sheetFormatPr defaultColWidth="8.6640625" defaultRowHeight="14.4" x14ac:dyDescent="0.3"/>
  <cols>
    <col min="1" max="2" width="24" customWidth="1"/>
    <col min="3" max="3" width="3" customWidth="1"/>
    <col min="4" max="5" width="14" customWidth="1"/>
    <col min="6" max="6" width="3" customWidth="1"/>
    <col min="7" max="8" width="12" customWidth="1"/>
  </cols>
  <sheetData>
    <row r="1" spans="1:8" ht="16.8" x14ac:dyDescent="0.3">
      <c r="A1" s="19" t="s">
        <v>1071</v>
      </c>
    </row>
    <row r="2" spans="1:8" ht="27.75" customHeight="1" x14ac:dyDescent="0.3">
      <c r="A2" s="9" t="s">
        <v>1072</v>
      </c>
      <c r="B2" s="9"/>
      <c r="C2" s="9"/>
      <c r="D2" s="9"/>
      <c r="E2" s="9"/>
      <c r="F2" s="9"/>
      <c r="G2" s="9"/>
      <c r="H2" s="9"/>
    </row>
    <row r="4" spans="1:8" x14ac:dyDescent="0.3">
      <c r="A4" s="8" t="s">
        <v>1073</v>
      </c>
      <c r="B4" s="8"/>
      <c r="D4" s="8" t="s">
        <v>1074</v>
      </c>
      <c r="E4" s="8"/>
      <c r="G4" s="8" t="s">
        <v>1075</v>
      </c>
      <c r="H4" s="8"/>
    </row>
    <row r="5" spans="1:8" x14ac:dyDescent="0.3">
      <c r="A5" s="20" t="s">
        <v>1076</v>
      </c>
      <c r="B5" s="20" t="s">
        <v>1077</v>
      </c>
      <c r="D5" s="20" t="s">
        <v>1076</v>
      </c>
      <c r="E5" s="20" t="s">
        <v>1077</v>
      </c>
      <c r="G5" s="20" t="s">
        <v>1076</v>
      </c>
      <c r="H5" s="20" t="s">
        <v>1077</v>
      </c>
    </row>
    <row r="6" spans="1:8" x14ac:dyDescent="0.3">
      <c r="A6" s="21" t="s">
        <v>149</v>
      </c>
      <c r="B6" s="21" t="s">
        <v>149</v>
      </c>
      <c r="D6" s="21" t="s">
        <v>408</v>
      </c>
      <c r="E6" s="21" t="s">
        <v>408</v>
      </c>
      <c r="G6" s="21" t="s">
        <v>118</v>
      </c>
      <c r="H6" s="21" t="s">
        <v>118</v>
      </c>
    </row>
    <row r="7" spans="1:8" x14ac:dyDescent="0.3">
      <c r="A7" s="21" t="s">
        <v>119</v>
      </c>
      <c r="B7" s="21" t="s">
        <v>119</v>
      </c>
      <c r="D7" s="21" t="s">
        <v>251</v>
      </c>
      <c r="E7" s="21" t="s">
        <v>251</v>
      </c>
      <c r="G7" s="21" t="s">
        <v>77</v>
      </c>
      <c r="H7" s="21" t="s">
        <v>77</v>
      </c>
    </row>
    <row r="8" spans="1:8" x14ac:dyDescent="0.3">
      <c r="A8" s="21" t="s">
        <v>555</v>
      </c>
      <c r="B8" s="21" t="s">
        <v>555</v>
      </c>
      <c r="D8" s="21" t="s">
        <v>92</v>
      </c>
      <c r="E8" s="21" t="s">
        <v>92</v>
      </c>
      <c r="G8" s="21" t="s">
        <v>97</v>
      </c>
      <c r="H8" s="21" t="s">
        <v>97</v>
      </c>
    </row>
    <row r="9" spans="1:8" x14ac:dyDescent="0.3">
      <c r="A9" s="21" t="s">
        <v>157</v>
      </c>
      <c r="B9" s="21" t="s">
        <v>157</v>
      </c>
      <c r="D9" s="21" t="s">
        <v>129</v>
      </c>
      <c r="E9" s="21" t="s">
        <v>129</v>
      </c>
      <c r="G9" s="21" t="s">
        <v>249</v>
      </c>
      <c r="H9" s="21" t="s">
        <v>249</v>
      </c>
    </row>
    <row r="10" spans="1:8" x14ac:dyDescent="0.3">
      <c r="A10" s="21" t="s">
        <v>128</v>
      </c>
      <c r="B10" s="21" t="s">
        <v>128</v>
      </c>
      <c r="D10" s="21" t="s">
        <v>261</v>
      </c>
      <c r="E10" s="21" t="s">
        <v>261</v>
      </c>
      <c r="G10" s="21" t="s">
        <v>226</v>
      </c>
      <c r="H10" s="21" t="s">
        <v>226</v>
      </c>
    </row>
    <row r="11" spans="1:8" x14ac:dyDescent="0.3">
      <c r="A11" s="21" t="s">
        <v>227</v>
      </c>
      <c r="B11" s="21" t="s">
        <v>227</v>
      </c>
      <c r="D11" s="21" t="s">
        <v>601</v>
      </c>
      <c r="E11" s="21" t="s">
        <v>408</v>
      </c>
      <c r="G11" s="21" t="s">
        <v>108</v>
      </c>
      <c r="H11" s="21" t="s">
        <v>118</v>
      </c>
    </row>
    <row r="12" spans="1:8" x14ac:dyDescent="0.3">
      <c r="A12" s="21" t="s">
        <v>472</v>
      </c>
      <c r="B12" s="21" t="s">
        <v>472</v>
      </c>
      <c r="D12" s="21" t="s">
        <v>636</v>
      </c>
      <c r="E12" s="21" t="s">
        <v>251</v>
      </c>
      <c r="G12" s="21" t="s">
        <v>333</v>
      </c>
      <c r="H12" s="21" t="s">
        <v>77</v>
      </c>
    </row>
    <row r="13" spans="1:8" x14ac:dyDescent="0.3">
      <c r="A13" s="21" t="s">
        <v>257</v>
      </c>
      <c r="B13" s="21" t="s">
        <v>257</v>
      </c>
      <c r="D13" s="21" t="s">
        <v>499</v>
      </c>
      <c r="E13" s="21" t="s">
        <v>129</v>
      </c>
    </row>
    <row r="14" spans="1:8" x14ac:dyDescent="0.3">
      <c r="A14" s="21" t="s">
        <v>391</v>
      </c>
      <c r="B14" s="21" t="s">
        <v>391</v>
      </c>
    </row>
    <row r="15" spans="1:8" x14ac:dyDescent="0.3">
      <c r="A15" s="21" t="s">
        <v>597</v>
      </c>
      <c r="B15" s="21" t="s">
        <v>149</v>
      </c>
    </row>
    <row r="16" spans="1:8" x14ac:dyDescent="0.3">
      <c r="A16" s="21" t="s">
        <v>810</v>
      </c>
      <c r="B16" s="21" t="s">
        <v>157</v>
      </c>
    </row>
    <row r="17" spans="1:2" x14ac:dyDescent="0.3">
      <c r="A17" s="21" t="s">
        <v>563</v>
      </c>
      <c r="B17" s="21" t="s">
        <v>128</v>
      </c>
    </row>
    <row r="18" spans="1:2" x14ac:dyDescent="0.3">
      <c r="A18" s="21" t="s">
        <v>89</v>
      </c>
      <c r="B18" s="21" t="s">
        <v>472</v>
      </c>
    </row>
  </sheetData>
  <mergeCells count="4">
    <mergeCell ref="A2:H2"/>
    <mergeCell ref="A4:B4"/>
    <mergeCell ref="D4:E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  <pageSetUpPr fitToPage="1"/>
  </sheetPr>
  <dimension ref="A1:W301"/>
  <sheetViews>
    <sheetView showGridLines="0" zoomScaleNormal="100" workbookViewId="0">
      <pane ySplit="1" topLeftCell="A2" activePane="bottomLeft" state="frozen"/>
      <selection pane="bottomLeft" activeCell="T11" sqref="T11"/>
    </sheetView>
  </sheetViews>
  <sheetFormatPr defaultColWidth="8.6640625" defaultRowHeight="14.4" x14ac:dyDescent="0.3"/>
  <cols>
    <col min="1" max="1" width="14.21875" bestFit="1" customWidth="1"/>
    <col min="2" max="2" width="16.6640625" bestFit="1" customWidth="1"/>
    <col min="3" max="3" width="21.109375" bestFit="1" customWidth="1"/>
    <col min="4" max="4" width="11.5546875" bestFit="1" customWidth="1"/>
    <col min="5" max="5" width="23" bestFit="1" customWidth="1"/>
    <col min="6" max="6" width="20.5546875" bestFit="1" customWidth="1"/>
    <col min="7" max="7" width="15.21875" bestFit="1" customWidth="1"/>
    <col min="8" max="8" width="15.109375" bestFit="1" customWidth="1"/>
    <col min="9" max="9" width="15.5546875" bestFit="1" customWidth="1"/>
    <col min="10" max="11" width="11.88671875" bestFit="1" customWidth="1"/>
    <col min="12" max="12" width="19.21875" bestFit="1" customWidth="1"/>
    <col min="13" max="13" width="18.33203125" bestFit="1" customWidth="1"/>
    <col min="14" max="14" width="26.88671875" bestFit="1" customWidth="1"/>
    <col min="15" max="15" width="24.109375" bestFit="1" customWidth="1"/>
    <col min="16" max="16" width="22" customWidth="1"/>
    <col min="17" max="17" width="17.77734375" bestFit="1" customWidth="1"/>
    <col min="18" max="18" width="11" customWidth="1"/>
    <col min="19" max="19" width="14.33203125" bestFit="1" customWidth="1"/>
    <col min="20" max="20" width="24.33203125" bestFit="1" customWidth="1"/>
    <col min="21" max="21" width="20.6640625" bestFit="1" customWidth="1"/>
    <col min="22" max="22" width="22.6640625" bestFit="1" customWidth="1"/>
    <col min="23" max="23" width="19.21875" bestFit="1" customWidth="1"/>
  </cols>
  <sheetData>
    <row r="1" spans="1:23" ht="31.5" customHeight="1" x14ac:dyDescent="0.3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1078</v>
      </c>
      <c r="Q1" s="16" t="s">
        <v>1079</v>
      </c>
      <c r="R1" s="16" t="s">
        <v>1080</v>
      </c>
      <c r="S1" s="16" t="s">
        <v>1081</v>
      </c>
      <c r="T1" s="16" t="s">
        <v>1082</v>
      </c>
      <c r="U1" s="16" t="s">
        <v>1083</v>
      </c>
      <c r="V1" s="16" t="s">
        <v>1084</v>
      </c>
      <c r="W1" s="16" t="s">
        <v>1085</v>
      </c>
    </row>
    <row r="2" spans="1:23" x14ac:dyDescent="0.3">
      <c r="A2" s="17" t="str">
        <f>TRIM(Raw_Data!A2)</f>
        <v>REQ-2025-0001</v>
      </c>
      <c r="B2" s="22">
        <f>IF(Raw_Data!B2="","",IF(ISNUMBER(Raw_Data!B2),Raw_Data!B2,IF(ISNUMBER(SEARCH("/",Raw_Data!B2)),IFERROR(DATE(VALUE(RIGHT(Raw_Data!B2,4)),VALUE(MID(Raw_Data!B2,4,2)),VALUE(LEFT(Raw_Data!B2,2))),"Invalid Date"),IFERROR(DATEVALUE(Raw_Data!B2),"Invalid Date"))))</f>
        <v>45772</v>
      </c>
      <c r="C2" s="17" t="str">
        <f>IF(TRIM(Raw_Data!C2)="","",PROPER(TRIM(Raw_Data!C2)))</f>
        <v>Unit B - Artillery</v>
      </c>
      <c r="D2" s="17" t="str">
        <f>IF(TRIM(Raw_Data!D2)="","Not Specified",IFERROR(INDEX(Lookup_Tables!$H$6:$H$12,MATCH(TRIM(Raw_Data!D2),Lookup_Tables!$G$6:$G$12,0)),"Unknown - Review"))</f>
        <v>Southern</v>
      </c>
      <c r="E2" s="17" t="str">
        <f>IF(TRIM(Raw_Data!E2)="","Not Specified",IFERROR(INDEX(Lookup_Tables!$B$6:$B$18,MATCH(TRIM(Raw_Data!E2),Lookup_Tables!$A$6:$A$18,0)),"Unknown - Review"))</f>
        <v>Communication Equipment</v>
      </c>
      <c r="F2" s="17" t="str">
        <f>IF(TRIM(Raw_Data!F2)="","",TRIM(Raw_Data!F2))</f>
        <v>Signal Cable (100m)</v>
      </c>
      <c r="G2" s="17">
        <f>IF(Raw_Data!G2="","",IF(VALUE(Raw_Data!G2)&lt;=0,"Invalid",VALUE(Raw_Data!G2)))</f>
        <v>307</v>
      </c>
      <c r="H2" s="17" t="str">
        <f>IF(Raw_Data!H2="","",IF(VALUE(Raw_Data!H2)&lt;=0,"Invalid",VALUE(Raw_Data!H2)))</f>
        <v/>
      </c>
      <c r="I2" s="23">
        <f>IFERROR(VALUE(SUBSTITUTE(SUBSTITUTE(Raw_Data!I2,"₹",""),",","")),"")</f>
        <v>1486.41</v>
      </c>
      <c r="J2" s="17" t="str">
        <f>IF(TRIM(Raw_Data!J2)="","Not Specified",PROPER(TRIM(Raw_Data!J2)))</f>
        <v>High</v>
      </c>
      <c r="K2" s="17" t="str">
        <f>IF(TRIM(Raw_Data!K2)="","Not Specified",IFERROR(INDEX(Lookup_Tables!$E$6:$E$13,MATCH(TRIM(Raw_Data!K2),Lookup_Tables!$D$6:$D$13,0)),"Unknown - Review"))</f>
        <v>Pending</v>
      </c>
      <c r="L2" s="17" t="str">
        <f>IF(TRIM(Raw_Data!L2)="","",PROPER(TRIM(Raw_Data!L2)))</f>
        <v>Quartermaster</v>
      </c>
      <c r="M2" s="22" t="str">
        <f>IF(Raw_Data!M2="","",IF(ISNUMBER(Raw_Data!M2),Raw_Data!M2,IF(ISNUMBER(SEARCH("/",Raw_Data!M2)),IFERROR(DATE(VALUE(RIGHT(Raw_Data!M2,4)),VALUE(MID(Raw_Data!M2,4,2)),VALUE(LEFT(Raw_Data!M2,2))),"Invalid Date"),IFERROR(DATEVALUE(Raw_Data!M2),"Invalid Date"))))</f>
        <v/>
      </c>
      <c r="N2" s="22" t="str">
        <f>IF(Raw_Data!N2="","",IF(ISNUMBER(Raw_Data!N2),Raw_Data!N2,IF(ISNUMBER(SEARCH("/",Raw_Data!N2)),IFERROR(DATE(VALUE(RIGHT(Raw_Data!N2,4)),VALUE(MID(Raw_Data!N2,4,2)),VALUE(LEFT(Raw_Data!N2,2))),"Invalid Date"),IFERROR(DATEVALUE(Raw_Data!N2),"Invalid Date"))))</f>
        <v/>
      </c>
      <c r="O2" s="22" t="str">
        <f>IF(Raw_Data!O2="","",IF(ISNUMBER(Raw_Data!O2),Raw_Data!O2,IF(ISNUMBER(SEARCH("/",Raw_Data!O2)),IFERROR(DATE(VALUE(RIGHT(Raw_Data!O2,4)),VALUE(MID(Raw_Data!O2,4,2)),VALUE(LEFT(Raw_Data!O2,2))),"Invalid Date"),IFERROR(DATEVALUE(Raw_Data!O2),"Invalid Date"))))</f>
        <v/>
      </c>
      <c r="P2" s="17" t="str">
        <f>IF(OR(TRIM(Raw_Data!P2)="",TRIM(Raw_Data!P2)="N/A",TRIM(Raw_Data!P2)="TBD",TRIM(Raw_Data!P2)="-"),"Not Assigned",PROPER(TRIM(Raw_Data!P2)))</f>
        <v>Not Assigned</v>
      </c>
      <c r="Q2" s="24" t="str">
        <f t="shared" ref="Q2:Q65" si="0">IF(OR(H2="",I2="",NOT(ISNUMBER(H2)),NOT(ISNUMBER(I2))),"",H2*I2)</f>
        <v/>
      </c>
      <c r="R2" s="17" t="str">
        <f t="shared" ref="R2:R65" si="1">IF(AND(ISNUMBER(O2),ISNUMBER(N2)),O2-N2,"")</f>
        <v/>
      </c>
      <c r="S2" s="17" t="str">
        <f>IF(COUNTIF($A$2:A2,A2)&gt;1,"Duplicate","Unique")</f>
        <v>Unique</v>
      </c>
      <c r="T2" s="17" t="str">
        <f t="shared" ref="T2:T65" si="2">IF(OR(G2="",K2="Not Specified",C2=""),"Yes","No")</f>
        <v>No</v>
      </c>
      <c r="U2" s="17" t="str">
        <f t="shared" ref="U2:U65" si="3">IF(OR(AND(ISNUMBER(H2),ISNUMBER(G2),H2&gt;G2),AND(K2="Rejected",ISNUMBER(H2),H2&gt;0)),"Yes","No")</f>
        <v>No</v>
      </c>
      <c r="V2" s="17" t="str">
        <f t="shared" ref="V2:V65" si="4">IF(AND(S2="Unique",T2="No",U2="No",G2&lt;&gt;"Invalid",H2&lt;&gt;"Invalid"),"Yes","No")</f>
        <v>Yes</v>
      </c>
      <c r="W2" s="17" t="str">
        <f t="shared" ref="W2:W65" si="5">IF(ISNUMBER(B2),TEXT(B2,"MMM-YYYY"),"")</f>
        <v>Apr-2025</v>
      </c>
    </row>
    <row r="3" spans="1:23" x14ac:dyDescent="0.3">
      <c r="A3" s="17" t="str">
        <f>TRIM(Raw_Data!A3)</f>
        <v>REQ-2025-0002</v>
      </c>
      <c r="B3" s="22" t="str">
        <f>IF(Raw_Data!B3="","",IF(ISNUMBER(Raw_Data!B3),Raw_Data!B3,IF(ISNUMBER(SEARCH("/",Raw_Data!B3)),IFERROR(DATE(VALUE(RIGHT(Raw_Data!B3,4)),VALUE(MID(Raw_Data!B3,4,2)),VALUE(LEFT(Raw_Data!B3,2))),"Invalid Date"),IFERROR(DATEVALUE(Raw_Data!B3),"Invalid Date"))))</f>
        <v/>
      </c>
      <c r="C3" s="17" t="str">
        <f>IF(TRIM(Raw_Data!C3)="","",PROPER(TRIM(Raw_Data!C3)))</f>
        <v>Unit B - Artillery</v>
      </c>
      <c r="D3" s="17" t="str">
        <f>IF(TRIM(Raw_Data!D3)="","Not Specified",IFERROR(INDEX(Lookup_Tables!$H$6:$H$12,MATCH(TRIM(Raw_Data!D3),Lookup_Tables!$G$6:$G$12,0)),"Unknown - Review"))</f>
        <v>Southern</v>
      </c>
      <c r="E3" s="17" t="str">
        <f>IF(TRIM(Raw_Data!E3)="","Not Specified",IFERROR(INDEX(Lookup_Tables!$B$6:$B$18,MATCH(TRIM(Raw_Data!E3),Lookup_Tables!$A$6:$A$18,0)),"Unknown - Review"))</f>
        <v>Fuel &amp; Lubricants</v>
      </c>
      <c r="F3" s="17" t="str">
        <f>IF(TRIM(Raw_Data!F3)="","",TRIM(Raw_Data!F3))</f>
        <v>Kerosene (Drum 200L)</v>
      </c>
      <c r="G3" s="17">
        <f>IF(Raw_Data!G3="","",IF(VALUE(Raw_Data!G3)&lt;=0,"Invalid",VALUE(Raw_Data!G3)))</f>
        <v>477</v>
      </c>
      <c r="H3" s="17">
        <f>IF(Raw_Data!H3="","",IF(VALUE(Raw_Data!H3)&lt;=0,"Invalid",VALUE(Raw_Data!H3)))</f>
        <v>452</v>
      </c>
      <c r="I3" s="23">
        <f>IFERROR(VALUE(SUBSTITUTE(SUBSTITUTE(Raw_Data!I3,"₹",""),",","")),"")</f>
        <v>27891</v>
      </c>
      <c r="J3" s="17" t="str">
        <f>IF(TRIM(Raw_Data!J3)="","Not Specified",PROPER(TRIM(Raw_Data!J3)))</f>
        <v>Routine</v>
      </c>
      <c r="K3" s="17" t="str">
        <f>IF(TRIM(Raw_Data!K3)="","Not Specified",IFERROR(INDEX(Lookup_Tables!$E$6:$E$13,MATCH(TRIM(Raw_Data!K3),Lookup_Tables!$D$6:$D$13,0)),"Unknown - Review"))</f>
        <v>Delivered</v>
      </c>
      <c r="L3" s="17" t="str">
        <f>IF(TRIM(Raw_Data!L3)="","",PROPER(TRIM(Raw_Data!L3)))</f>
        <v>Quartermaster</v>
      </c>
      <c r="M3" s="22">
        <f>IF(Raw_Data!M3="","",IF(ISNUMBER(Raw_Data!M3),Raw_Data!M3,IF(ISNUMBER(SEARCH("/",Raw_Data!M3)),IFERROR(DATE(VALUE(RIGHT(Raw_Data!M3,4)),VALUE(MID(Raw_Data!M3,4,2)),VALUE(LEFT(Raw_Data!M3,2))),"Invalid Date"),IFERROR(DATEVALUE(Raw_Data!M3),"Invalid Date"))))</f>
        <v>45799</v>
      </c>
      <c r="N3" s="22">
        <f>IF(Raw_Data!N3="","",IF(ISNUMBER(Raw_Data!N3),Raw_Data!N3,IF(ISNUMBER(SEARCH("/",Raw_Data!N3)),IFERROR(DATE(VALUE(RIGHT(Raw_Data!N3,4)),VALUE(MID(Raw_Data!N3,4,2)),VALUE(LEFT(Raw_Data!N3,2))),"Invalid Date"),IFERROR(DATEVALUE(Raw_Data!N3),"Invalid Date"))))</f>
        <v>45822</v>
      </c>
      <c r="O3" s="22">
        <f>IF(Raw_Data!O3="","",IF(ISNUMBER(Raw_Data!O3),Raw_Data!O3,IF(ISNUMBER(SEARCH("/",Raw_Data!O3)),IFERROR(DATE(VALUE(RIGHT(Raw_Data!O3,4)),VALUE(MID(Raw_Data!O3,4,2)),VALUE(LEFT(Raw_Data!O3,2))),"Invalid Date"),IFERROR(DATEVALUE(Raw_Data!O3),"Invalid Date"))))</f>
        <v>45823</v>
      </c>
      <c r="P3" s="17" t="str">
        <f>IF(OR(TRIM(Raw_Data!P3)="",TRIM(Raw_Data!P3)="N/A",TRIM(Raw_Data!P3)="TBD",TRIM(Raw_Data!P3)="-"),"Not Assigned",PROPER(TRIM(Raw_Data!P3)))</f>
        <v>Sena Supply Co</v>
      </c>
      <c r="Q3" s="24">
        <f t="shared" si="0"/>
        <v>12606732</v>
      </c>
      <c r="R3" s="17">
        <f t="shared" si="1"/>
        <v>1</v>
      </c>
      <c r="S3" s="17" t="str">
        <f>IF(COUNTIF($A$2:A3,A3)&gt;1,"Duplicate","Unique")</f>
        <v>Unique</v>
      </c>
      <c r="T3" s="17" t="str">
        <f t="shared" si="2"/>
        <v>No</v>
      </c>
      <c r="U3" s="17" t="str">
        <f t="shared" si="3"/>
        <v>No</v>
      </c>
      <c r="V3" s="17" t="str">
        <f t="shared" si="4"/>
        <v>Yes</v>
      </c>
      <c r="W3" s="17" t="str">
        <f t="shared" si="5"/>
        <v/>
      </c>
    </row>
    <row r="4" spans="1:23" x14ac:dyDescent="0.3">
      <c r="A4" s="17" t="str">
        <f>TRIM(Raw_Data!A4)</f>
        <v>REQ-2025-0003</v>
      </c>
      <c r="B4" s="22">
        <f>IF(Raw_Data!B4="","",IF(ISNUMBER(Raw_Data!B4),Raw_Data!B4,IF(ISNUMBER(SEARCH("/",Raw_Data!B4)),IFERROR(DATE(VALUE(RIGHT(Raw_Data!B4,4)),VALUE(MID(Raw_Data!B4,4,2)),VALUE(LEFT(Raw_Data!B4,2))),"Invalid Date"),IFERROR(DATEVALUE(Raw_Data!B4),"Invalid Date"))))</f>
        <v>46008</v>
      </c>
      <c r="C4" s="17" t="str">
        <f>IF(TRIM(Raw_Data!C4)="","",PROPER(TRIM(Raw_Data!C4)))</f>
        <v>Unit G - Transport Corps</v>
      </c>
      <c r="D4" s="17" t="str">
        <f>IF(TRIM(Raw_Data!D4)="","Not Specified",IFERROR(INDEX(Lookup_Tables!$H$6:$H$12,MATCH(TRIM(Raw_Data!D4),Lookup_Tables!$G$6:$G$12,0)),"Unknown - Review"))</f>
        <v>Southern</v>
      </c>
      <c r="E4" s="17" t="str">
        <f>IF(TRIM(Raw_Data!E4)="","Not Specified",IFERROR(INDEX(Lookup_Tables!$B$6:$B$18,MATCH(TRIM(Raw_Data!E4),Lookup_Tables!$A$6:$A$18,0)),"Unknown - Review"))</f>
        <v>Tents &amp; Shelter</v>
      </c>
      <c r="F4" s="17" t="str">
        <f>IF(TRIM(Raw_Data!F4)="","",TRIM(Raw_Data!F4))</f>
        <v>Tarpaulin Sheet</v>
      </c>
      <c r="G4" s="17" t="str">
        <f>IF(Raw_Data!G4="","",IF(VALUE(Raw_Data!G4)&lt;=0,"Invalid",VALUE(Raw_Data!G4)))</f>
        <v>Invalid</v>
      </c>
      <c r="H4" s="17">
        <f>IF(Raw_Data!H4="","",IF(VALUE(Raw_Data!H4)&lt;=0,"Invalid",VALUE(Raw_Data!H4)))</f>
        <v>331</v>
      </c>
      <c r="I4" s="23">
        <f>IFERROR(VALUE(SUBSTITUTE(SUBSTITUTE(Raw_Data!I4,"₹",""),",","")),"")</f>
        <v>9612.58</v>
      </c>
      <c r="J4" s="17" t="str">
        <f>IF(TRIM(Raw_Data!J4)="","Not Specified",PROPER(TRIM(Raw_Data!J4)))</f>
        <v>High</v>
      </c>
      <c r="K4" s="17" t="str">
        <f>IF(TRIM(Raw_Data!K4)="","Not Specified",IFERROR(INDEX(Lookup_Tables!$E$6:$E$13,MATCH(TRIM(Raw_Data!K4),Lookup_Tables!$D$6:$D$13,0)),"Unknown - Review"))</f>
        <v>Approved</v>
      </c>
      <c r="L4" s="17" t="str">
        <f>IF(TRIM(Raw_Data!L4)="","",PROPER(TRIM(Raw_Data!L4)))</f>
        <v>Logistics Officer</v>
      </c>
      <c r="M4" s="22" t="str">
        <f>IF(Raw_Data!M4="","",IF(ISNUMBER(Raw_Data!M4),Raw_Data!M4,IF(ISNUMBER(SEARCH("/",Raw_Data!M4)),IFERROR(DATE(VALUE(RIGHT(Raw_Data!M4,4)),VALUE(MID(Raw_Data!M4,4,2)),VALUE(LEFT(Raw_Data!M4,2))),"Invalid Date"),IFERROR(DATEVALUE(Raw_Data!M4),"Invalid Date"))))</f>
        <v/>
      </c>
      <c r="N4" s="22">
        <f>IF(Raw_Data!N4="","",IF(ISNUMBER(Raw_Data!N4),Raw_Data!N4,IF(ISNUMBER(SEARCH("/",Raw_Data!N4)),IFERROR(DATE(VALUE(RIGHT(Raw_Data!N4,4)),VALUE(MID(Raw_Data!N4,4,2)),VALUE(LEFT(Raw_Data!N4,2))),"Invalid Date"),IFERROR(DATEVALUE(Raw_Data!N4),"Invalid Date"))))</f>
        <v>46045</v>
      </c>
      <c r="O4" s="22" t="str">
        <f>IF(Raw_Data!O4="","",IF(ISNUMBER(Raw_Data!O4),Raw_Data!O4,IF(ISNUMBER(SEARCH("/",Raw_Data!O4)),IFERROR(DATE(VALUE(RIGHT(Raw_Data!O4,4)),VALUE(MID(Raw_Data!O4,4,2)),VALUE(LEFT(Raw_Data!O4,2))),"Invalid Date"),IFERROR(DATEVALUE(Raw_Data!O4),"Invalid Date"))))</f>
        <v/>
      </c>
      <c r="P4" s="17" t="str">
        <f>IF(OR(TRIM(Raw_Data!P4)="",TRIM(Raw_Data!P4)="N/A",TRIM(Raw_Data!P4)="TBD",TRIM(Raw_Data!P4)="-"),"Not Assigned",PROPER(TRIM(Raw_Data!P4)))</f>
        <v>Om Suppliers</v>
      </c>
      <c r="Q4" s="24">
        <f t="shared" si="0"/>
        <v>3181763.98</v>
      </c>
      <c r="R4" s="17" t="str">
        <f t="shared" si="1"/>
        <v/>
      </c>
      <c r="S4" s="17" t="str">
        <f>IF(COUNTIF($A$2:A4,A4)&gt;1,"Duplicate","Unique")</f>
        <v>Unique</v>
      </c>
      <c r="T4" s="17" t="str">
        <f t="shared" si="2"/>
        <v>No</v>
      </c>
      <c r="U4" s="17" t="str">
        <f t="shared" si="3"/>
        <v>No</v>
      </c>
      <c r="V4" s="17" t="str">
        <f t="shared" si="4"/>
        <v>No</v>
      </c>
      <c r="W4" s="17" t="str">
        <f t="shared" si="5"/>
        <v>Dec-2025</v>
      </c>
    </row>
    <row r="5" spans="1:23" x14ac:dyDescent="0.3">
      <c r="A5" s="17" t="str">
        <f>TRIM(Raw_Data!A5)</f>
        <v>REQ-2025-0004</v>
      </c>
      <c r="B5" s="22">
        <f>IF(Raw_Data!B5="","",IF(ISNUMBER(Raw_Data!B5),Raw_Data!B5,IF(ISNUMBER(SEARCH("/",Raw_Data!B5)),IFERROR(DATE(VALUE(RIGHT(Raw_Data!B5,4)),VALUE(MID(Raw_Data!B5,4,2)),VALUE(LEFT(Raw_Data!B5,2))),"Invalid Date"),IFERROR(DATEVALUE(Raw_Data!B5),"Invalid Date"))))</f>
        <v>45690</v>
      </c>
      <c r="C5" s="17" t="str">
        <f>IF(TRIM(Raw_Data!C5)="","",PROPER(TRIM(Raw_Data!C5)))</f>
        <v>Unit C - Engineers</v>
      </c>
      <c r="D5" s="17" t="str">
        <f>IF(TRIM(Raw_Data!D5)="","Not Specified",IFERROR(INDEX(Lookup_Tables!$H$6:$H$12,MATCH(TRIM(Raw_Data!D5),Lookup_Tables!$G$6:$G$12,0)),"Unknown - Review"))</f>
        <v>Eastern</v>
      </c>
      <c r="E5" s="17" t="str">
        <f>IF(TRIM(Raw_Data!E5)="","Not Specified",IFERROR(INDEX(Lookup_Tables!$B$6:$B$18,MATCH(TRIM(Raw_Data!E5),Lookup_Tables!$A$6:$A$18,0)),"Unknown - Review"))</f>
        <v>Construction Material</v>
      </c>
      <c r="F5" s="17" t="str">
        <f>IF(TRIM(Raw_Data!F5)="","",TRIM(Raw_Data!F5))</f>
        <v>Barbed Wire Roll</v>
      </c>
      <c r="G5" s="17">
        <f>IF(Raw_Data!G5="","",IF(VALUE(Raw_Data!G5)&lt;=0,"Invalid",VALUE(Raw_Data!G5)))</f>
        <v>288</v>
      </c>
      <c r="H5" s="17" t="str">
        <f>IF(Raw_Data!H5="","",IF(VALUE(Raw_Data!H5)&lt;=0,"Invalid",VALUE(Raw_Data!H5)))</f>
        <v/>
      </c>
      <c r="I5" s="23">
        <f>IFERROR(VALUE(SUBSTITUTE(SUBSTITUTE(Raw_Data!I5,"₹",""),",","")),"")</f>
        <v>32474.37</v>
      </c>
      <c r="J5" s="17" t="str">
        <f>IF(TRIM(Raw_Data!J5)="","Not Specified",PROPER(TRIM(Raw_Data!J5)))</f>
        <v>Routine</v>
      </c>
      <c r="K5" s="17" t="str">
        <f>IF(TRIM(Raw_Data!K5)="","Not Specified",IFERROR(INDEX(Lookup_Tables!$E$6:$E$13,MATCH(TRIM(Raw_Data!K5),Lookup_Tables!$D$6:$D$13,0)),"Unknown - Review"))</f>
        <v>Rejected</v>
      </c>
      <c r="L5" s="17" t="str">
        <f>IF(TRIM(Raw_Data!L5)="","",PROPER(TRIM(Raw_Data!L5)))</f>
        <v>Stores Officer</v>
      </c>
      <c r="M5" s="22" t="str">
        <f>IF(Raw_Data!M5="","",IF(ISNUMBER(Raw_Data!M5),Raw_Data!M5,IF(ISNUMBER(SEARCH("/",Raw_Data!M5)),IFERROR(DATE(VALUE(RIGHT(Raw_Data!M5,4)),VALUE(MID(Raw_Data!M5,4,2)),VALUE(LEFT(Raw_Data!M5,2))),"Invalid Date"),IFERROR(DATEVALUE(Raw_Data!M5),"Invalid Date"))))</f>
        <v/>
      </c>
      <c r="N5" s="22" t="str">
        <f>IF(Raw_Data!N5="","",IF(ISNUMBER(Raw_Data!N5),Raw_Data!N5,IF(ISNUMBER(SEARCH("/",Raw_Data!N5)),IFERROR(DATE(VALUE(RIGHT(Raw_Data!N5,4)),VALUE(MID(Raw_Data!N5,4,2)),VALUE(LEFT(Raw_Data!N5,2))),"Invalid Date"),IFERROR(DATEVALUE(Raw_Data!N5),"Invalid Date"))))</f>
        <v/>
      </c>
      <c r="O5" s="22" t="str">
        <f>IF(Raw_Data!O5="","",IF(ISNUMBER(Raw_Data!O5),Raw_Data!O5,IF(ISNUMBER(SEARCH("/",Raw_Data!O5)),IFERROR(DATE(VALUE(RIGHT(Raw_Data!O5,4)),VALUE(MID(Raw_Data!O5,4,2)),VALUE(LEFT(Raw_Data!O5,2))),"Invalid Date"),IFERROR(DATEVALUE(Raw_Data!O5),"Invalid Date"))))</f>
        <v/>
      </c>
      <c r="P5" s="17" t="str">
        <f>IF(OR(TRIM(Raw_Data!P5)="",TRIM(Raw_Data!P5)="N/A",TRIM(Raw_Data!P5)="TBD",TRIM(Raw_Data!P5)="-"),"Not Assigned",PROPER(TRIM(Raw_Data!P5)))</f>
        <v>Shakti Traders</v>
      </c>
      <c r="Q5" s="24" t="str">
        <f t="shared" si="0"/>
        <v/>
      </c>
      <c r="R5" s="17" t="str">
        <f t="shared" si="1"/>
        <v/>
      </c>
      <c r="S5" s="17" t="str">
        <f>IF(COUNTIF($A$2:A5,A5)&gt;1,"Duplicate","Unique")</f>
        <v>Unique</v>
      </c>
      <c r="T5" s="17" t="str">
        <f t="shared" si="2"/>
        <v>No</v>
      </c>
      <c r="U5" s="17" t="str">
        <f t="shared" si="3"/>
        <v>No</v>
      </c>
      <c r="V5" s="17" t="str">
        <f t="shared" si="4"/>
        <v>Yes</v>
      </c>
      <c r="W5" s="17" t="str">
        <f t="shared" si="5"/>
        <v>Feb-2025</v>
      </c>
    </row>
    <row r="6" spans="1:23" x14ac:dyDescent="0.3">
      <c r="A6" s="17" t="str">
        <f>TRIM(Raw_Data!A6)</f>
        <v>REQ-2025-0005</v>
      </c>
      <c r="B6" s="22" t="str">
        <f>IF(Raw_Data!B6="","",IF(ISNUMBER(Raw_Data!B6),Raw_Data!B6,IF(ISNUMBER(SEARCH("/",Raw_Data!B6)),IFERROR(DATE(VALUE(RIGHT(Raw_Data!B6,4)),VALUE(MID(Raw_Data!B6,4,2)),VALUE(LEFT(Raw_Data!B6,2))),"Invalid Date"),IFERROR(DATEVALUE(Raw_Data!B6),"Invalid Date"))))</f>
        <v/>
      </c>
      <c r="C6" s="17" t="str">
        <f>IF(TRIM(Raw_Data!C6)="","",PROPER(TRIM(Raw_Data!C6)))</f>
        <v>Unit C - Engineers</v>
      </c>
      <c r="D6" s="17" t="str">
        <f>IF(TRIM(Raw_Data!D6)="","Not Specified",IFERROR(INDEX(Lookup_Tables!$H$6:$H$12,MATCH(TRIM(Raw_Data!D6),Lookup_Tables!$G$6:$G$12,0)),"Unknown - Review"))</f>
        <v>Eastern</v>
      </c>
      <c r="E6" s="17" t="str">
        <f>IF(TRIM(Raw_Data!E6)="","Not Specified",IFERROR(INDEX(Lookup_Tables!$B$6:$B$18,MATCH(TRIM(Raw_Data!E6),Lookup_Tables!$A$6:$A$18,0)),"Unknown - Review"))</f>
        <v>Tents &amp; Shelter</v>
      </c>
      <c r="F6" s="17" t="str">
        <f>IF(TRIM(Raw_Data!F6)="","",TRIM(Raw_Data!F6))</f>
        <v>10-Man Tent</v>
      </c>
      <c r="G6" s="17">
        <f>IF(Raw_Data!G6="","",IF(VALUE(Raw_Data!G6)&lt;=0,"Invalid",VALUE(Raw_Data!G6)))</f>
        <v>480</v>
      </c>
      <c r="H6" s="17">
        <f>IF(Raw_Data!H6="","",IF(VALUE(Raw_Data!H6)&lt;=0,"Invalid",VALUE(Raw_Data!H6)))</f>
        <v>452</v>
      </c>
      <c r="I6" s="23">
        <f>IFERROR(VALUE(SUBSTITUTE(SUBSTITUTE(Raw_Data!I6,"₹",""),",","")),"")</f>
        <v>10889.44</v>
      </c>
      <c r="J6" s="17" t="str">
        <f>IF(TRIM(Raw_Data!J6)="","Not Specified",PROPER(TRIM(Raw_Data!J6)))</f>
        <v>High</v>
      </c>
      <c r="K6" s="17" t="str">
        <f>IF(TRIM(Raw_Data!K6)="","Not Specified",IFERROR(INDEX(Lookup_Tables!$E$6:$E$13,MATCH(TRIM(Raw_Data!K6),Lookup_Tables!$D$6:$D$13,0)),"Unknown - Review"))</f>
        <v>Approved</v>
      </c>
      <c r="L6" s="17" t="str">
        <f>IF(TRIM(Raw_Data!L6)="","",PROPER(TRIM(Raw_Data!L6)))</f>
        <v>Quartermaster</v>
      </c>
      <c r="M6" s="22">
        <f>IF(Raw_Data!M6="","",IF(ISNUMBER(Raw_Data!M6),Raw_Data!M6,IF(ISNUMBER(SEARCH("/",Raw_Data!M6)),IFERROR(DATE(VALUE(RIGHT(Raw_Data!M6,4)),VALUE(MID(Raw_Data!M6,4,2)),VALUE(LEFT(Raw_Data!M6,2))),"Invalid Date"),IFERROR(DATEVALUE(Raw_Data!M6),"Invalid Date"))))</f>
        <v>45968</v>
      </c>
      <c r="N6" s="22">
        <f>IF(Raw_Data!N6="","",IF(ISNUMBER(Raw_Data!N6),Raw_Data!N6,IF(ISNUMBER(SEARCH("/",Raw_Data!N6)),IFERROR(DATE(VALUE(RIGHT(Raw_Data!N6,4)),VALUE(MID(Raw_Data!N6,4,2)),VALUE(LEFT(Raw_Data!N6,2))),"Invalid Date"),IFERROR(DATEVALUE(Raw_Data!N6),"Invalid Date"))))</f>
        <v>45991</v>
      </c>
      <c r="O6" s="22" t="str">
        <f>IF(Raw_Data!O6="","",IF(ISNUMBER(Raw_Data!O6),Raw_Data!O6,IF(ISNUMBER(SEARCH("/",Raw_Data!O6)),IFERROR(DATE(VALUE(RIGHT(Raw_Data!O6,4)),VALUE(MID(Raw_Data!O6,4,2)),VALUE(LEFT(Raw_Data!O6,2))),"Invalid Date"),IFERROR(DATEVALUE(Raw_Data!O6),"Invalid Date"))))</f>
        <v/>
      </c>
      <c r="P6" s="17" t="str">
        <f>IF(OR(TRIM(Raw_Data!P6)="",TRIM(Raw_Data!P6)="N/A",TRIM(Raw_Data!P6)="TBD",TRIM(Raw_Data!P6)="-"),"Not Assigned",PROPER(TRIM(Raw_Data!P6)))</f>
        <v>Sena Supply Co</v>
      </c>
      <c r="Q6" s="24">
        <f t="shared" si="0"/>
        <v>4922026.88</v>
      </c>
      <c r="R6" s="17" t="str">
        <f t="shared" si="1"/>
        <v/>
      </c>
      <c r="S6" s="17" t="str">
        <f>IF(COUNTIF($A$2:A6,A6)&gt;1,"Duplicate","Unique")</f>
        <v>Unique</v>
      </c>
      <c r="T6" s="17" t="str">
        <f t="shared" si="2"/>
        <v>No</v>
      </c>
      <c r="U6" s="17" t="str">
        <f t="shared" si="3"/>
        <v>No</v>
      </c>
      <c r="V6" s="17" t="str">
        <f t="shared" si="4"/>
        <v>Yes</v>
      </c>
      <c r="W6" s="17" t="str">
        <f t="shared" si="5"/>
        <v/>
      </c>
    </row>
    <row r="7" spans="1:23" x14ac:dyDescent="0.3">
      <c r="A7" s="17" t="str">
        <f>TRIM(Raw_Data!A7)</f>
        <v>REQ-2025-0006</v>
      </c>
      <c r="B7" s="22">
        <f>IF(Raw_Data!B7="","",IF(ISNUMBER(Raw_Data!B7),Raw_Data!B7,IF(ISNUMBER(SEARCH("/",Raw_Data!B7)),IFERROR(DATE(VALUE(RIGHT(Raw_Data!B7,4)),VALUE(MID(Raw_Data!B7,4,2)),VALUE(LEFT(Raw_Data!B7,2))),"Invalid Date"),IFERROR(DATEVALUE(Raw_Data!B7),"Invalid Date"))))</f>
        <v>45719</v>
      </c>
      <c r="C7" s="17" t="str">
        <f>IF(TRIM(Raw_Data!C7)="","",PROPER(TRIM(Raw_Data!C7)))</f>
        <v>Unit F - Ordnance Depot</v>
      </c>
      <c r="D7" s="17" t="str">
        <f>IF(TRIM(Raw_Data!D7)="","Not Specified",IFERROR(INDEX(Lookup_Tables!$H$6:$H$12,MATCH(TRIM(Raw_Data!D7),Lookup_Tables!$G$6:$G$12,0)),"Unknown - Review"))</f>
        <v>Northern</v>
      </c>
      <c r="E7" s="17" t="str">
        <f>IF(TRIM(Raw_Data!E7)="","Not Specified",IFERROR(INDEX(Lookup_Tables!$B$6:$B$18,MATCH(TRIM(Raw_Data!E7),Lookup_Tables!$A$6:$A$18,0)),"Unknown - Review"))</f>
        <v>Tents &amp; Shelter</v>
      </c>
      <c r="F7" s="17" t="str">
        <f>IF(TRIM(Raw_Data!F7)="","",TRIM(Raw_Data!F7))</f>
        <v>Tent Poles Set</v>
      </c>
      <c r="G7" s="17">
        <f>IF(Raw_Data!G7="","",IF(VALUE(Raw_Data!G7)&lt;=0,"Invalid",VALUE(Raw_Data!G7)))</f>
        <v>15</v>
      </c>
      <c r="H7" s="17">
        <f>IF(Raw_Data!H7="","",IF(VALUE(Raw_Data!H7)&lt;=0,"Invalid",VALUE(Raw_Data!H7)))</f>
        <v>11</v>
      </c>
      <c r="I7" s="23">
        <f>IFERROR(VALUE(SUBSTITUTE(SUBSTITUTE(Raw_Data!I7,"₹",""),",","")),"")</f>
        <v>3334.04</v>
      </c>
      <c r="J7" s="17" t="str">
        <f>IF(TRIM(Raw_Data!J7)="","Not Specified",PROPER(TRIM(Raw_Data!J7)))</f>
        <v>High</v>
      </c>
      <c r="K7" s="17" t="str">
        <f>IF(TRIM(Raw_Data!K7)="","Not Specified",IFERROR(INDEX(Lookup_Tables!$E$6:$E$13,MATCH(TRIM(Raw_Data!K7),Lookup_Tables!$D$6:$D$13,0)),"Unknown - Review"))</f>
        <v>Approved</v>
      </c>
      <c r="L7" s="17" t="str">
        <f>IF(TRIM(Raw_Data!L7)="","",PROPER(TRIM(Raw_Data!L7)))</f>
        <v>Stores Officer</v>
      </c>
      <c r="M7" s="22" t="str">
        <f>IF(Raw_Data!M7="","",IF(ISNUMBER(Raw_Data!M7),Raw_Data!M7,IF(ISNUMBER(SEARCH("/",Raw_Data!M7)),IFERROR(DATE(VALUE(RIGHT(Raw_Data!M7,4)),VALUE(MID(Raw_Data!M7,4,2)),VALUE(LEFT(Raw_Data!M7,2))),"Invalid Date"),IFERROR(DATEVALUE(Raw_Data!M7),"Invalid Date"))))</f>
        <v/>
      </c>
      <c r="N7" s="22">
        <f>IF(Raw_Data!N7="","",IF(ISNUMBER(Raw_Data!N7),Raw_Data!N7,IF(ISNUMBER(SEARCH("/",Raw_Data!N7)),IFERROR(DATE(VALUE(RIGHT(Raw_Data!N7,4)),VALUE(MID(Raw_Data!N7,4,2)),VALUE(LEFT(Raw_Data!N7,2))),"Invalid Date"),IFERROR(DATEVALUE(Raw_Data!N7),"Invalid Date"))))</f>
        <v>45732</v>
      </c>
      <c r="O7" s="22" t="str">
        <f>IF(Raw_Data!O7="","",IF(ISNUMBER(Raw_Data!O7),Raw_Data!O7,IF(ISNUMBER(SEARCH("/",Raw_Data!O7)),IFERROR(DATE(VALUE(RIGHT(Raw_Data!O7,4)),VALUE(MID(Raw_Data!O7,4,2)),VALUE(LEFT(Raw_Data!O7,2))),"Invalid Date"),IFERROR(DATEVALUE(Raw_Data!O7),"Invalid Date"))))</f>
        <v/>
      </c>
      <c r="P7" s="17" t="str">
        <f>IF(OR(TRIM(Raw_Data!P7)="",TRIM(Raw_Data!P7)="N/A",TRIM(Raw_Data!P7)="TBD",TRIM(Raw_Data!P7)="-"),"Not Assigned",PROPER(TRIM(Raw_Data!P7)))</f>
        <v>Sena Supply Co</v>
      </c>
      <c r="Q7" s="24">
        <f t="shared" si="0"/>
        <v>36674.44</v>
      </c>
      <c r="R7" s="17" t="str">
        <f t="shared" si="1"/>
        <v/>
      </c>
      <c r="S7" s="17" t="str">
        <f>IF(COUNTIF($A$2:A7,A7)&gt;1,"Duplicate","Unique")</f>
        <v>Unique</v>
      </c>
      <c r="T7" s="17" t="str">
        <f t="shared" si="2"/>
        <v>No</v>
      </c>
      <c r="U7" s="17" t="str">
        <f t="shared" si="3"/>
        <v>No</v>
      </c>
      <c r="V7" s="17" t="str">
        <f t="shared" si="4"/>
        <v>Yes</v>
      </c>
      <c r="W7" s="17" t="str">
        <f t="shared" si="5"/>
        <v>Mar-2025</v>
      </c>
    </row>
    <row r="8" spans="1:23" x14ac:dyDescent="0.3">
      <c r="A8" s="17" t="str">
        <f>TRIM(Raw_Data!A8)</f>
        <v>REQ-2025-0007</v>
      </c>
      <c r="B8" s="22" t="str">
        <f>IF(Raw_Data!B8="","",IF(ISNUMBER(Raw_Data!B8),Raw_Data!B8,IF(ISNUMBER(SEARCH("/",Raw_Data!B8)),IFERROR(DATE(VALUE(RIGHT(Raw_Data!B8,4)),VALUE(MID(Raw_Data!B8,4,2)),VALUE(LEFT(Raw_Data!B8,2))),"Invalid Date"),IFERROR(DATEVALUE(Raw_Data!B8),"Invalid Date"))))</f>
        <v/>
      </c>
      <c r="C8" s="17" t="str">
        <f>IF(TRIM(Raw_Data!C8)="","",PROPER(TRIM(Raw_Data!C8)))</f>
        <v>Unit A - Infantry</v>
      </c>
      <c r="D8" s="17" t="str">
        <f>IF(TRIM(Raw_Data!D8)="","Not Specified",IFERROR(INDEX(Lookup_Tables!$H$6:$H$12,MATCH(TRIM(Raw_Data!D8),Lookup_Tables!$G$6:$G$12,0)),"Unknown - Review"))</f>
        <v>Northern</v>
      </c>
      <c r="E8" s="17" t="str">
        <f>IF(TRIM(Raw_Data!E8)="","Not Specified",IFERROR(INDEX(Lookup_Tables!$B$6:$B$18,MATCH(TRIM(Raw_Data!E8),Lookup_Tables!$A$6:$A$18,0)),"Unknown - Review"))</f>
        <v>Vehicle Spares</v>
      </c>
      <c r="F8" s="17" t="str">
        <f>IF(TRIM(Raw_Data!F8)="","",TRIM(Raw_Data!F8))</f>
        <v>Truck Tyre 900x20</v>
      </c>
      <c r="G8" s="17">
        <f>IF(Raw_Data!G8="","",IF(VALUE(Raw_Data!G8)&lt;=0,"Invalid",VALUE(Raw_Data!G8)))</f>
        <v>103</v>
      </c>
      <c r="H8" s="17">
        <f>IF(Raw_Data!H8="","",IF(VALUE(Raw_Data!H8)&lt;=0,"Invalid",VALUE(Raw_Data!H8)))</f>
        <v>85</v>
      </c>
      <c r="I8" s="23">
        <f>IFERROR(VALUE(SUBSTITUTE(SUBSTITUTE(Raw_Data!I8,"₹",""),",","")),"")</f>
        <v>12643</v>
      </c>
      <c r="J8" s="17" t="str">
        <f>IF(TRIM(Raw_Data!J8)="","Not Specified",PROPER(TRIM(Raw_Data!J8)))</f>
        <v>High</v>
      </c>
      <c r="K8" s="17" t="str">
        <f>IF(TRIM(Raw_Data!K8)="","Not Specified",IFERROR(INDEX(Lookup_Tables!$E$6:$E$13,MATCH(TRIM(Raw_Data!K8),Lookup_Tables!$D$6:$D$13,0)),"Unknown - Review"))</f>
        <v>Delivered</v>
      </c>
      <c r="L8" s="17" t="str">
        <f>IF(TRIM(Raw_Data!L8)="","",PROPER(TRIM(Raw_Data!L8)))</f>
        <v>Logistics Officer</v>
      </c>
      <c r="M8" s="22">
        <f>IF(Raw_Data!M8="","",IF(ISNUMBER(Raw_Data!M8),Raw_Data!M8,IF(ISNUMBER(SEARCH("/",Raw_Data!M8)),IFERROR(DATE(VALUE(RIGHT(Raw_Data!M8,4)),VALUE(MID(Raw_Data!M8,4,2)),VALUE(LEFT(Raw_Data!M8,2))),"Invalid Date"),IFERROR(DATEVALUE(Raw_Data!M8),"Invalid Date"))))</f>
        <v>45868</v>
      </c>
      <c r="N8" s="22">
        <f>IF(Raw_Data!N8="","",IF(ISNUMBER(Raw_Data!N8),Raw_Data!N8,IF(ISNUMBER(SEARCH("/",Raw_Data!N8)),IFERROR(DATE(VALUE(RIGHT(Raw_Data!N8,4)),VALUE(MID(Raw_Data!N8,4,2)),VALUE(LEFT(Raw_Data!N8,2))),"Invalid Date"),IFERROR(DATEVALUE(Raw_Data!N8),"Invalid Date"))))</f>
        <v>45875</v>
      </c>
      <c r="O8" s="22">
        <f>IF(Raw_Data!O8="","",IF(ISNUMBER(Raw_Data!O8),Raw_Data!O8,IF(ISNUMBER(SEARCH("/",Raw_Data!O8)),IFERROR(DATE(VALUE(RIGHT(Raw_Data!O8,4)),VALUE(MID(Raw_Data!O8,4,2)),VALUE(LEFT(Raw_Data!O8,2))),"Invalid Date"),IFERROR(DATEVALUE(Raw_Data!O8),"Invalid Date"))))</f>
        <v>45884</v>
      </c>
      <c r="P8" s="17" t="str">
        <f>IF(OR(TRIM(Raw_Data!P8)="",TRIM(Raw_Data!P8)="N/A",TRIM(Raw_Data!P8)="TBD",TRIM(Raw_Data!P8)="-"),"Not Assigned",PROPER(TRIM(Raw_Data!P8)))</f>
        <v>Sena Supply Co</v>
      </c>
      <c r="Q8" s="24">
        <f t="shared" si="0"/>
        <v>1074655</v>
      </c>
      <c r="R8" s="17">
        <f t="shared" si="1"/>
        <v>9</v>
      </c>
      <c r="S8" s="17" t="str">
        <f>IF(COUNTIF($A$2:A8,A8)&gt;1,"Duplicate","Unique")</f>
        <v>Unique</v>
      </c>
      <c r="T8" s="17" t="str">
        <f t="shared" si="2"/>
        <v>No</v>
      </c>
      <c r="U8" s="17" t="str">
        <f t="shared" si="3"/>
        <v>No</v>
      </c>
      <c r="V8" s="17" t="str">
        <f t="shared" si="4"/>
        <v>Yes</v>
      </c>
      <c r="W8" s="17" t="str">
        <f t="shared" si="5"/>
        <v/>
      </c>
    </row>
    <row r="9" spans="1:23" x14ac:dyDescent="0.3">
      <c r="A9" s="17" t="str">
        <f>TRIM(Raw_Data!A9)</f>
        <v>REQ-2025-0008</v>
      </c>
      <c r="B9" s="22">
        <f>IF(Raw_Data!B9="","",IF(ISNUMBER(Raw_Data!B9),Raw_Data!B9,IF(ISNUMBER(SEARCH("/",Raw_Data!B9)),IFERROR(DATE(VALUE(RIGHT(Raw_Data!B9,4)),VALUE(MID(Raw_Data!B9,4,2)),VALUE(LEFT(Raw_Data!B9,2))),"Invalid Date"),IFERROR(DATEVALUE(Raw_Data!B9),"Invalid Date"))))</f>
        <v>45687</v>
      </c>
      <c r="C9" s="17" t="str">
        <f>IF(TRIM(Raw_Data!C9)="","",PROPER(TRIM(Raw_Data!C9)))</f>
        <v>Unit H - Air Defence</v>
      </c>
      <c r="D9" s="17" t="str">
        <f>IF(TRIM(Raw_Data!D9)="","Not Specified",IFERROR(INDEX(Lookup_Tables!$H$6:$H$12,MATCH(TRIM(Raw_Data!D9),Lookup_Tables!$G$6:$G$12,0)),"Unknown - Review"))</f>
        <v>Eastern</v>
      </c>
      <c r="E9" s="17" t="str">
        <f>IF(TRIM(Raw_Data!E9)="","Not Specified",IFERROR(INDEX(Lookup_Tables!$B$6:$B$18,MATCH(TRIM(Raw_Data!E9),Lookup_Tables!$A$6:$A$18,0)),"Unknown - Review"))</f>
        <v>Communication Equipment</v>
      </c>
      <c r="F9" s="17" t="str">
        <f>IF(TRIM(Raw_Data!F9)="","",TRIM(Raw_Data!F9))</f>
        <v>Signal Cable (100m)</v>
      </c>
      <c r="G9" s="17" t="str">
        <f>IF(Raw_Data!G9="","",IF(VALUE(Raw_Data!G9)&lt;=0,"Invalid",VALUE(Raw_Data!G9)))</f>
        <v>Invalid</v>
      </c>
      <c r="H9" s="17">
        <f>IF(Raw_Data!H9="","",IF(VALUE(Raw_Data!H9)&lt;=0,"Invalid",VALUE(Raw_Data!H9)))</f>
        <v>33</v>
      </c>
      <c r="I9" s="23">
        <f>IFERROR(VALUE(SUBSTITUTE(SUBSTITUTE(Raw_Data!I9,"₹",""),",","")),"")</f>
        <v>23971.01</v>
      </c>
      <c r="J9" s="17" t="str">
        <f>IF(TRIM(Raw_Data!J9)="","Not Specified",PROPER(TRIM(Raw_Data!J9)))</f>
        <v>High</v>
      </c>
      <c r="K9" s="17" t="str">
        <f>IF(TRIM(Raw_Data!K9)="","Not Specified",IFERROR(INDEX(Lookup_Tables!$E$6:$E$13,MATCH(TRIM(Raw_Data!K9),Lookup_Tables!$D$6:$D$13,0)),"Unknown - Review"))</f>
        <v>Dispatched</v>
      </c>
      <c r="L9" s="17" t="str">
        <f>IF(TRIM(Raw_Data!L9)="","",PROPER(TRIM(Raw_Data!L9)))</f>
        <v>Stores Officer</v>
      </c>
      <c r="M9" s="22">
        <f>IF(Raw_Data!M9="","",IF(ISNUMBER(Raw_Data!M9),Raw_Data!M9,IF(ISNUMBER(SEARCH("/",Raw_Data!M9)),IFERROR(DATE(VALUE(RIGHT(Raw_Data!M9,4)),VALUE(MID(Raw_Data!M9,4,2)),VALUE(LEFT(Raw_Data!M9,2))),"Invalid Date"),IFERROR(DATEVALUE(Raw_Data!M9),"Invalid Date"))))</f>
        <v>45688</v>
      </c>
      <c r="N9" s="22">
        <f>IF(Raw_Data!N9="","",IF(ISNUMBER(Raw_Data!N9),Raw_Data!N9,IF(ISNUMBER(SEARCH("/",Raw_Data!N9)),IFERROR(DATE(VALUE(RIGHT(Raw_Data!N9,4)),VALUE(MID(Raw_Data!N9,4,2)),VALUE(LEFT(Raw_Data!N9,2))),"Invalid Date"),IFERROR(DATEVALUE(Raw_Data!N9),"Invalid Date"))))</f>
        <v>45709</v>
      </c>
      <c r="O9" s="22" t="str">
        <f>IF(Raw_Data!O9="","",IF(ISNUMBER(Raw_Data!O9),Raw_Data!O9,IF(ISNUMBER(SEARCH("/",Raw_Data!O9)),IFERROR(DATE(VALUE(RIGHT(Raw_Data!O9,4)),VALUE(MID(Raw_Data!O9,4,2)),VALUE(LEFT(Raw_Data!O9,2))),"Invalid Date"),IFERROR(DATEVALUE(Raw_Data!O9),"Invalid Date"))))</f>
        <v/>
      </c>
      <c r="P9" s="17" t="str">
        <f>IF(OR(TRIM(Raw_Data!P9)="",TRIM(Raw_Data!P9)="N/A",TRIM(Raw_Data!P9)="TBD",TRIM(Raw_Data!P9)="-"),"Not Assigned",PROPER(TRIM(Raw_Data!P9)))</f>
        <v>Sena Supply Co</v>
      </c>
      <c r="Q9" s="24">
        <f t="shared" si="0"/>
        <v>791043.33</v>
      </c>
      <c r="R9" s="17" t="str">
        <f t="shared" si="1"/>
        <v/>
      </c>
      <c r="S9" s="17" t="str">
        <f>IF(COUNTIF($A$2:A9,A9)&gt;1,"Duplicate","Unique")</f>
        <v>Unique</v>
      </c>
      <c r="T9" s="17" t="str">
        <f t="shared" si="2"/>
        <v>No</v>
      </c>
      <c r="U9" s="17" t="str">
        <f t="shared" si="3"/>
        <v>No</v>
      </c>
      <c r="V9" s="17" t="str">
        <f t="shared" si="4"/>
        <v>No</v>
      </c>
      <c r="W9" s="17" t="str">
        <f t="shared" si="5"/>
        <v>Jan-2025</v>
      </c>
    </row>
    <row r="10" spans="1:23" x14ac:dyDescent="0.3">
      <c r="A10" s="17" t="str">
        <f>TRIM(Raw_Data!A10)</f>
        <v>REQ-2025-0009</v>
      </c>
      <c r="B10" s="22">
        <f>IF(Raw_Data!B10="","",IF(ISNUMBER(Raw_Data!B10),Raw_Data!B10,IF(ISNUMBER(SEARCH("/",Raw_Data!B10)),IFERROR(DATE(VALUE(RIGHT(Raw_Data!B10,4)),VALUE(MID(Raw_Data!B10,4,2)),VALUE(LEFT(Raw_Data!B10,2))),"Invalid Date"),IFERROR(DATEVALUE(Raw_Data!B10),"Invalid Date"))))</f>
        <v>45819</v>
      </c>
      <c r="C10" s="17" t="str">
        <f>IF(TRIM(Raw_Data!C10)="","",PROPER(TRIM(Raw_Data!C10)))</f>
        <v>Unit C - Engineers</v>
      </c>
      <c r="D10" s="17" t="str">
        <f>IF(TRIM(Raw_Data!D10)="","Not Specified",IFERROR(INDEX(Lookup_Tables!$H$6:$H$12,MATCH(TRIM(Raw_Data!D10),Lookup_Tables!$G$6:$G$12,0)),"Unknown - Review"))</f>
        <v>Eastern</v>
      </c>
      <c r="E10" s="17" t="str">
        <f>IF(TRIM(Raw_Data!E10)="","Not Specified",IFERROR(INDEX(Lookup_Tables!$B$6:$B$18,MATCH(TRIM(Raw_Data!E10),Lookup_Tables!$A$6:$A$18,0)),"Unknown - Review"))</f>
        <v>Communication Equipment</v>
      </c>
      <c r="F10" s="17" t="str">
        <f>IF(TRIM(Raw_Data!F10)="","",TRIM(Raw_Data!F10))</f>
        <v>Antenna Unit</v>
      </c>
      <c r="G10" s="17">
        <f>IF(Raw_Data!G10="","",IF(VALUE(Raw_Data!G10)&lt;=0,"Invalid",VALUE(Raw_Data!G10)))</f>
        <v>239</v>
      </c>
      <c r="H10" s="17">
        <f>IF(Raw_Data!H10="","",IF(VALUE(Raw_Data!H10)&lt;=0,"Invalid",VALUE(Raw_Data!H10)))</f>
        <v>174</v>
      </c>
      <c r="I10" s="23">
        <f>IFERROR(VALUE(SUBSTITUTE(SUBSTITUTE(Raw_Data!I10,"₹",""),",","")),"")</f>
        <v>24262.9</v>
      </c>
      <c r="J10" s="17" t="str">
        <f>IF(TRIM(Raw_Data!J10)="","Not Specified",PROPER(TRIM(Raw_Data!J10)))</f>
        <v>High</v>
      </c>
      <c r="K10" s="17" t="str">
        <f>IF(TRIM(Raw_Data!K10)="","Not Specified",IFERROR(INDEX(Lookup_Tables!$E$6:$E$13,MATCH(TRIM(Raw_Data!K10),Lookup_Tables!$D$6:$D$13,0)),"Unknown - Review"))</f>
        <v>Not Specified</v>
      </c>
      <c r="L10" s="17" t="str">
        <f>IF(TRIM(Raw_Data!L10)="","",PROPER(TRIM(Raw_Data!L10)))</f>
        <v>Quartermaster</v>
      </c>
      <c r="M10" s="22">
        <f>IF(Raw_Data!M10="","",IF(ISNUMBER(Raw_Data!M10),Raw_Data!M10,IF(ISNUMBER(SEARCH("/",Raw_Data!M10)),IFERROR(DATE(VALUE(RIGHT(Raw_Data!M10,4)),VALUE(MID(Raw_Data!M10,4,2)),VALUE(LEFT(Raw_Data!M10,2))),"Invalid Date"),IFERROR(DATEVALUE(Raw_Data!M10),"Invalid Date"))))</f>
        <v>45828</v>
      </c>
      <c r="N10" s="22">
        <f>IF(Raw_Data!N10="","",IF(ISNUMBER(Raw_Data!N10),Raw_Data!N10,IF(ISNUMBER(SEARCH("/",Raw_Data!N10)),IFERROR(DATE(VALUE(RIGHT(Raw_Data!N10,4)),VALUE(MID(Raw_Data!N10,4,2)),VALUE(LEFT(Raw_Data!N10,2))),"Invalid Date"),IFERROR(DATEVALUE(Raw_Data!N10),"Invalid Date"))))</f>
        <v>45841</v>
      </c>
      <c r="O10" s="22">
        <f>IF(Raw_Data!O10="","",IF(ISNUMBER(Raw_Data!O10),Raw_Data!O10,IF(ISNUMBER(SEARCH("/",Raw_Data!O10)),IFERROR(DATE(VALUE(RIGHT(Raw_Data!O10,4)),VALUE(MID(Raw_Data!O10,4,2)),VALUE(LEFT(Raw_Data!O10,2))),"Invalid Date"),IFERROR(DATEVALUE(Raw_Data!O10),"Invalid Date"))))</f>
        <v>45840</v>
      </c>
      <c r="P10" s="17" t="str">
        <f>IF(OR(TRIM(Raw_Data!P10)="",TRIM(Raw_Data!P10)="N/A",TRIM(Raw_Data!P10)="TBD",TRIM(Raw_Data!P10)="-"),"Not Assigned",PROPER(TRIM(Raw_Data!P10)))</f>
        <v>Om Suppliers</v>
      </c>
      <c r="Q10" s="24">
        <f t="shared" si="0"/>
        <v>4221744.6000000006</v>
      </c>
      <c r="R10" s="17">
        <f t="shared" si="1"/>
        <v>-1</v>
      </c>
      <c r="S10" s="17" t="str">
        <f>IF(COUNTIF($A$2:A10,A10)&gt;1,"Duplicate","Unique")</f>
        <v>Unique</v>
      </c>
      <c r="T10" s="17" t="str">
        <f t="shared" si="2"/>
        <v>Yes</v>
      </c>
      <c r="U10" s="17" t="str">
        <f t="shared" si="3"/>
        <v>No</v>
      </c>
      <c r="V10" s="17" t="str">
        <f t="shared" si="4"/>
        <v>No</v>
      </c>
      <c r="W10" s="17" t="str">
        <f t="shared" si="5"/>
        <v>Jun-2025</v>
      </c>
    </row>
    <row r="11" spans="1:23" x14ac:dyDescent="0.3">
      <c r="A11" s="17" t="str">
        <f>TRIM(Raw_Data!A11)</f>
        <v>REQ-2025-0010</v>
      </c>
      <c r="B11" s="22">
        <f>IF(Raw_Data!B11="","",IF(ISNUMBER(Raw_Data!B11),Raw_Data!B11,IF(ISNUMBER(SEARCH("/",Raw_Data!B11)),IFERROR(DATE(VALUE(RIGHT(Raw_Data!B11,4)),VALUE(MID(Raw_Data!B11,4,2)),VALUE(LEFT(Raw_Data!B11,2))),"Invalid Date"),IFERROR(DATEVALUE(Raw_Data!B11),"Invalid Date"))))</f>
        <v>45802</v>
      </c>
      <c r="C11" s="17" t="str">
        <f>IF(TRIM(Raw_Data!C11)="","",PROPER(TRIM(Raw_Data!C11)))</f>
        <v>Unit B - Artillery</v>
      </c>
      <c r="D11" s="17" t="str">
        <f>IF(TRIM(Raw_Data!D11)="","Not Specified",IFERROR(INDEX(Lookup_Tables!$H$6:$H$12,MATCH(TRIM(Raw_Data!D11),Lookup_Tables!$G$6:$G$12,0)),"Unknown - Review"))</f>
        <v>Southern</v>
      </c>
      <c r="E11" s="17" t="str">
        <f>IF(TRIM(Raw_Data!E11)="","Not Specified",IFERROR(INDEX(Lookup_Tables!$B$6:$B$18,MATCH(TRIM(Raw_Data!E11),Lookup_Tables!$A$6:$A$18,0)),"Unknown - Review"))</f>
        <v>Uniforms &amp; Clothing</v>
      </c>
      <c r="F11" s="17" t="str">
        <f>IF(TRIM(Raw_Data!F11)="","",TRIM(Raw_Data!F11))</f>
        <v>Field Boots (Pair)</v>
      </c>
      <c r="G11" s="17">
        <f>IF(Raw_Data!G11="","",IF(VALUE(Raw_Data!G11)&lt;=0,"Invalid",VALUE(Raw_Data!G11)))</f>
        <v>356</v>
      </c>
      <c r="H11" s="17">
        <f>IF(Raw_Data!H11="","",IF(VALUE(Raw_Data!H11)&lt;=0,"Invalid",VALUE(Raw_Data!H11)))</f>
        <v>301</v>
      </c>
      <c r="I11" s="23">
        <f>IFERROR(VALUE(SUBSTITUTE(SUBSTITUTE(Raw_Data!I11,"₹",""),",","")),"")</f>
        <v>40754.339999999997</v>
      </c>
      <c r="J11" s="17" t="str">
        <f>IF(TRIM(Raw_Data!J11)="","Not Specified",PROPER(TRIM(Raw_Data!J11)))</f>
        <v>Low</v>
      </c>
      <c r="K11" s="17" t="str">
        <f>IF(TRIM(Raw_Data!K11)="","Not Specified",IFERROR(INDEX(Lookup_Tables!$E$6:$E$13,MATCH(TRIM(Raw_Data!K11),Lookup_Tables!$D$6:$D$13,0)),"Unknown - Review"))</f>
        <v>Dispatched</v>
      </c>
      <c r="L11" s="17" t="str">
        <f>IF(TRIM(Raw_Data!L11)="","",PROPER(TRIM(Raw_Data!L11)))</f>
        <v>Logistics Officer</v>
      </c>
      <c r="M11" s="22" t="str">
        <f>IF(Raw_Data!M11="","",IF(ISNUMBER(Raw_Data!M11),Raw_Data!M11,IF(ISNUMBER(SEARCH("/",Raw_Data!M11)),IFERROR(DATE(VALUE(RIGHT(Raw_Data!M11,4)),VALUE(MID(Raw_Data!M11,4,2)),VALUE(LEFT(Raw_Data!M11,2))),"Invalid Date"),IFERROR(DATEVALUE(Raw_Data!M11),"Invalid Date"))))</f>
        <v/>
      </c>
      <c r="N11" s="22">
        <f>IF(Raw_Data!N11="","",IF(ISNUMBER(Raw_Data!N11),Raw_Data!N11,IF(ISNUMBER(SEARCH("/",Raw_Data!N11)),IFERROR(DATE(VALUE(RIGHT(Raw_Data!N11,4)),VALUE(MID(Raw_Data!N11,4,2)),VALUE(LEFT(Raw_Data!N11,2))),"Invalid Date"),IFERROR(DATEVALUE(Raw_Data!N11),"Invalid Date"))))</f>
        <v>45810</v>
      </c>
      <c r="O11" s="22" t="str">
        <f>IF(Raw_Data!O11="","",IF(ISNUMBER(Raw_Data!O11),Raw_Data!O11,IF(ISNUMBER(SEARCH("/",Raw_Data!O11)),IFERROR(DATE(VALUE(RIGHT(Raw_Data!O11,4)),VALUE(MID(Raw_Data!O11,4,2)),VALUE(LEFT(Raw_Data!O11,2))),"Invalid Date"),IFERROR(DATEVALUE(Raw_Data!O11),"Invalid Date"))))</f>
        <v/>
      </c>
      <c r="P11" s="17" t="str">
        <f>IF(OR(TRIM(Raw_Data!P11)="",TRIM(Raw_Data!P11)="N/A",TRIM(Raw_Data!P11)="TBD",TRIM(Raw_Data!P11)="-"),"Not Assigned",PROPER(TRIM(Raw_Data!P11)))</f>
        <v>Rapid Vendors Ltd</v>
      </c>
      <c r="Q11" s="24">
        <f t="shared" si="0"/>
        <v>12267056.34</v>
      </c>
      <c r="R11" s="17" t="str">
        <f t="shared" si="1"/>
        <v/>
      </c>
      <c r="S11" s="17" t="str">
        <f>IF(COUNTIF($A$2:A11,A11)&gt;1,"Duplicate","Unique")</f>
        <v>Unique</v>
      </c>
      <c r="T11" s="17" t="str">
        <f t="shared" si="2"/>
        <v>No</v>
      </c>
      <c r="U11" s="17" t="str">
        <f t="shared" si="3"/>
        <v>No</v>
      </c>
      <c r="V11" s="17" t="str">
        <f t="shared" si="4"/>
        <v>Yes</v>
      </c>
      <c r="W11" s="17" t="str">
        <f t="shared" si="5"/>
        <v>May-2025</v>
      </c>
    </row>
    <row r="12" spans="1:23" x14ac:dyDescent="0.3">
      <c r="A12" s="17" t="str">
        <f>TRIM(Raw_Data!A12)</f>
        <v>REQ-2025-0011</v>
      </c>
      <c r="B12" s="22">
        <f>IF(Raw_Data!B12="","",IF(ISNUMBER(Raw_Data!B12),Raw_Data!B12,IF(ISNUMBER(SEARCH("/",Raw_Data!B12)),IFERROR(DATE(VALUE(RIGHT(Raw_Data!B12,4)),VALUE(MID(Raw_Data!B12,4,2)),VALUE(LEFT(Raw_Data!B12,2))),"Invalid Date"),IFERROR(DATEVALUE(Raw_Data!B12),"Invalid Date"))))</f>
        <v>45765</v>
      </c>
      <c r="C12" s="17" t="str">
        <f>IF(TRIM(Raw_Data!C12)="","",PROPER(TRIM(Raw_Data!C12)))</f>
        <v>Unit A - Infantry</v>
      </c>
      <c r="D12" s="17" t="str">
        <f>IF(TRIM(Raw_Data!D12)="","Not Specified",IFERROR(INDEX(Lookup_Tables!$H$6:$H$12,MATCH(TRIM(Raw_Data!D12),Lookup_Tables!$G$6:$G$12,0)),"Unknown - Review"))</f>
        <v>Northern</v>
      </c>
      <c r="E12" s="17" t="str">
        <f>IF(TRIM(Raw_Data!E12)="","Not Specified",IFERROR(INDEX(Lookup_Tables!$B$6:$B$18,MATCH(TRIM(Raw_Data!E12),Lookup_Tables!$A$6:$A$18,0)),"Unknown - Review"))</f>
        <v>Rations</v>
      </c>
      <c r="F12" s="17" t="str">
        <f>IF(TRIM(Raw_Data!F12)="","",TRIM(Raw_Data!F12))</f>
        <v>Rice (50kg bag)</v>
      </c>
      <c r="G12" s="17">
        <f>IF(Raw_Data!G12="","",IF(VALUE(Raw_Data!G12)&lt;=0,"Invalid",VALUE(Raw_Data!G12)))</f>
        <v>404</v>
      </c>
      <c r="H12" s="17">
        <f>IF(Raw_Data!H12="","",IF(VALUE(Raw_Data!H12)&lt;=0,"Invalid",VALUE(Raw_Data!H12)))</f>
        <v>400</v>
      </c>
      <c r="I12" s="23">
        <f>IFERROR(VALUE(SUBSTITUTE(SUBSTITUTE(Raw_Data!I12,"₹",""),",","")),"")</f>
        <v>33764.07</v>
      </c>
      <c r="J12" s="17" t="str">
        <f>IF(TRIM(Raw_Data!J12)="","Not Specified",PROPER(TRIM(Raw_Data!J12)))</f>
        <v>High</v>
      </c>
      <c r="K12" s="17" t="str">
        <f>IF(TRIM(Raw_Data!K12)="","Not Specified",IFERROR(INDEX(Lookup_Tables!$E$6:$E$13,MATCH(TRIM(Raw_Data!K12),Lookup_Tables!$D$6:$D$13,0)),"Unknown - Review"))</f>
        <v>Delivered</v>
      </c>
      <c r="L12" s="17" t="str">
        <f>IF(TRIM(Raw_Data!L12)="","",PROPER(TRIM(Raw_Data!L12)))</f>
        <v>Stores Officer</v>
      </c>
      <c r="M12" s="22">
        <f>IF(Raw_Data!M12="","",IF(ISNUMBER(Raw_Data!M12),Raw_Data!M12,IF(ISNUMBER(SEARCH("/",Raw_Data!M12)),IFERROR(DATE(VALUE(RIGHT(Raw_Data!M12,4)),VALUE(MID(Raw_Data!M12,4,2)),VALUE(LEFT(Raw_Data!M12,2))),"Invalid Date"),IFERROR(DATEVALUE(Raw_Data!M12),"Invalid Date"))))</f>
        <v>45769</v>
      </c>
      <c r="N12" s="22">
        <f>IF(Raw_Data!N12="","",IF(ISNUMBER(Raw_Data!N12),Raw_Data!N12,IF(ISNUMBER(SEARCH("/",Raw_Data!N12)),IFERROR(DATE(VALUE(RIGHT(Raw_Data!N12,4)),VALUE(MID(Raw_Data!N12,4,2)),VALUE(LEFT(Raw_Data!N12,2))),"Invalid Date"),IFERROR(DATEVALUE(Raw_Data!N12),"Invalid Date"))))</f>
        <v>45779</v>
      </c>
      <c r="O12" s="22">
        <f>IF(Raw_Data!O12="","",IF(ISNUMBER(Raw_Data!O12),Raw_Data!O12,IF(ISNUMBER(SEARCH("/",Raw_Data!O12)),IFERROR(DATE(VALUE(RIGHT(Raw_Data!O12,4)),VALUE(MID(Raw_Data!O12,4,2)),VALUE(LEFT(Raw_Data!O12,2))),"Invalid Date"),IFERROR(DATEVALUE(Raw_Data!O12),"Invalid Date"))))</f>
        <v>45799</v>
      </c>
      <c r="P12" s="17" t="str">
        <f>IF(OR(TRIM(Raw_Data!P12)="",TRIM(Raw_Data!P12)="N/A",TRIM(Raw_Data!P12)="TBD",TRIM(Raw_Data!P12)="-"),"Not Assigned",PROPER(TRIM(Raw_Data!P12)))</f>
        <v>National Defence Stores</v>
      </c>
      <c r="Q12" s="24">
        <f t="shared" si="0"/>
        <v>13505628</v>
      </c>
      <c r="R12" s="17">
        <f t="shared" si="1"/>
        <v>20</v>
      </c>
      <c r="S12" s="17" t="str">
        <f>IF(COUNTIF($A$2:A12,A12)&gt;1,"Duplicate","Unique")</f>
        <v>Unique</v>
      </c>
      <c r="T12" s="17" t="str">
        <f t="shared" si="2"/>
        <v>No</v>
      </c>
      <c r="U12" s="17" t="str">
        <f t="shared" si="3"/>
        <v>No</v>
      </c>
      <c r="V12" s="17" t="str">
        <f t="shared" si="4"/>
        <v>Yes</v>
      </c>
      <c r="W12" s="17" t="str">
        <f t="shared" si="5"/>
        <v>Apr-2025</v>
      </c>
    </row>
    <row r="13" spans="1:23" x14ac:dyDescent="0.3">
      <c r="A13" s="17" t="str">
        <f>TRIM(Raw_Data!A13)</f>
        <v>REQ-2025-0012</v>
      </c>
      <c r="B13" s="22">
        <f>IF(Raw_Data!B13="","",IF(ISNUMBER(Raw_Data!B13),Raw_Data!B13,IF(ISNUMBER(SEARCH("/",Raw_Data!B13)),IFERROR(DATE(VALUE(RIGHT(Raw_Data!B13,4)),VALUE(MID(Raw_Data!B13,4,2)),VALUE(LEFT(Raw_Data!B13,2))),"Invalid Date"),IFERROR(DATEVALUE(Raw_Data!B13),"Invalid Date"))))</f>
        <v>45826</v>
      </c>
      <c r="C13" s="17" t="str">
        <f>IF(TRIM(Raw_Data!C13)="","",PROPER(TRIM(Raw_Data!C13)))</f>
        <v>Unit D - Signals</v>
      </c>
      <c r="D13" s="17" t="str">
        <f>IF(TRIM(Raw_Data!D13)="","Not Specified",IFERROR(INDEX(Lookup_Tables!$H$6:$H$12,MATCH(TRIM(Raw_Data!D13),Lookup_Tables!$G$6:$G$12,0)),"Unknown - Review"))</f>
        <v>Western</v>
      </c>
      <c r="E13" s="17" t="str">
        <f>IF(TRIM(Raw_Data!E13)="","Not Specified",IFERROR(INDEX(Lookup_Tables!$B$6:$B$18,MATCH(TRIM(Raw_Data!E13),Lookup_Tables!$A$6:$A$18,0)),"Unknown - Review"))</f>
        <v>Medical Supplies</v>
      </c>
      <c r="F13" s="17" t="str">
        <f>IF(TRIM(Raw_Data!F13)="","",TRIM(Raw_Data!F13))</f>
        <v>Antiseptic Solution (5L)</v>
      </c>
      <c r="G13" s="17">
        <f>IF(Raw_Data!G13="","",IF(VALUE(Raw_Data!G13)&lt;=0,"Invalid",VALUE(Raw_Data!G13)))</f>
        <v>184</v>
      </c>
      <c r="H13" s="17">
        <f>IF(Raw_Data!H13="","",IF(VALUE(Raw_Data!H13)&lt;=0,"Invalid",VALUE(Raw_Data!H13)))</f>
        <v>182</v>
      </c>
      <c r="I13" s="23">
        <f>IFERROR(VALUE(SUBSTITUTE(SUBSTITUTE(Raw_Data!I13,"₹",""),",","")),"")</f>
        <v>24199</v>
      </c>
      <c r="J13" s="17" t="str">
        <f>IF(TRIM(Raw_Data!J13)="","Not Specified",PROPER(TRIM(Raw_Data!J13)))</f>
        <v>High</v>
      </c>
      <c r="K13" s="17" t="str">
        <f>IF(TRIM(Raw_Data!K13)="","Not Specified",IFERROR(INDEX(Lookup_Tables!$E$6:$E$13,MATCH(TRIM(Raw_Data!K13),Lookup_Tables!$D$6:$D$13,0)),"Unknown - Review"))</f>
        <v>Approved</v>
      </c>
      <c r="L13" s="17" t="str">
        <f>IF(TRIM(Raw_Data!L13)="","",PROPER(TRIM(Raw_Data!L13)))</f>
        <v>Stores Officer</v>
      </c>
      <c r="M13" s="22" t="str">
        <f>IF(Raw_Data!M13="","",IF(ISNUMBER(Raw_Data!M13),Raw_Data!M13,IF(ISNUMBER(SEARCH("/",Raw_Data!M13)),IFERROR(DATE(VALUE(RIGHT(Raw_Data!M13,4)),VALUE(MID(Raw_Data!M13,4,2)),VALUE(LEFT(Raw_Data!M13,2))),"Invalid Date"),IFERROR(DATEVALUE(Raw_Data!M13),"Invalid Date"))))</f>
        <v/>
      </c>
      <c r="N13" s="22">
        <f>IF(Raw_Data!N13="","",IF(ISNUMBER(Raw_Data!N13),Raw_Data!N13,IF(ISNUMBER(SEARCH("/",Raw_Data!N13)),IFERROR(DATE(VALUE(RIGHT(Raw_Data!N13,4)),VALUE(MID(Raw_Data!N13,4,2)),VALUE(LEFT(Raw_Data!N13,2))),"Invalid Date"),IFERROR(DATEVALUE(Raw_Data!N13),"Invalid Date"))))</f>
        <v>45835</v>
      </c>
      <c r="O13" s="22" t="str">
        <f>IF(Raw_Data!O13="","",IF(ISNUMBER(Raw_Data!O13),Raw_Data!O13,IF(ISNUMBER(SEARCH("/",Raw_Data!O13)),IFERROR(DATE(VALUE(RIGHT(Raw_Data!O13,4)),VALUE(MID(Raw_Data!O13,4,2)),VALUE(LEFT(Raw_Data!O13,2))),"Invalid Date"),IFERROR(DATEVALUE(Raw_Data!O13),"Invalid Date"))))</f>
        <v/>
      </c>
      <c r="P13" s="17" t="str">
        <f>IF(OR(TRIM(Raw_Data!P13)="",TRIM(Raw_Data!P13)="N/A",TRIM(Raw_Data!P13)="TBD",TRIM(Raw_Data!P13)="-"),"Not Assigned",PROPER(TRIM(Raw_Data!P13)))</f>
        <v>Shakti Traders</v>
      </c>
      <c r="Q13" s="24">
        <f t="shared" si="0"/>
        <v>4404218</v>
      </c>
      <c r="R13" s="17" t="str">
        <f t="shared" si="1"/>
        <v/>
      </c>
      <c r="S13" s="17" t="str">
        <f>IF(COUNTIF($A$2:A13,A13)&gt;1,"Duplicate","Unique")</f>
        <v>Unique</v>
      </c>
      <c r="T13" s="17" t="str">
        <f t="shared" si="2"/>
        <v>No</v>
      </c>
      <c r="U13" s="17" t="str">
        <f t="shared" si="3"/>
        <v>No</v>
      </c>
      <c r="V13" s="17" t="str">
        <f t="shared" si="4"/>
        <v>Yes</v>
      </c>
      <c r="W13" s="17" t="str">
        <f t="shared" si="5"/>
        <v>Jun-2025</v>
      </c>
    </row>
    <row r="14" spans="1:23" x14ac:dyDescent="0.3">
      <c r="A14" s="17" t="str">
        <f>TRIM(Raw_Data!A14)</f>
        <v>REQ-2025-0013</v>
      </c>
      <c r="B14" s="22">
        <f>IF(Raw_Data!B14="","",IF(ISNUMBER(Raw_Data!B14),Raw_Data!B14,IF(ISNUMBER(SEARCH("/",Raw_Data!B14)),IFERROR(DATE(VALUE(RIGHT(Raw_Data!B14,4)),VALUE(MID(Raw_Data!B14,4,2)),VALUE(LEFT(Raw_Data!B14,2))),"Invalid Date"),IFERROR(DATEVALUE(Raw_Data!B14),"Invalid Date"))))</f>
        <v>45977</v>
      </c>
      <c r="C14" s="17" t="str">
        <f>IF(TRIM(Raw_Data!C14)="","",PROPER(TRIM(Raw_Data!C14)))</f>
        <v>Unit D - Signals</v>
      </c>
      <c r="D14" s="17" t="str">
        <f>IF(TRIM(Raw_Data!D14)="","Not Specified",IFERROR(INDEX(Lookup_Tables!$H$6:$H$12,MATCH(TRIM(Raw_Data!D14),Lookup_Tables!$G$6:$G$12,0)),"Unknown - Review"))</f>
        <v>Western</v>
      </c>
      <c r="E14" s="17" t="str">
        <f>IF(TRIM(Raw_Data!E14)="","Not Specified",IFERROR(INDEX(Lookup_Tables!$B$6:$B$18,MATCH(TRIM(Raw_Data!E14),Lookup_Tables!$A$6:$A$18,0)),"Unknown - Review"))</f>
        <v>Vehicle Spares</v>
      </c>
      <c r="F14" s="17" t="str">
        <f>IF(TRIM(Raw_Data!F14)="","",TRIM(Raw_Data!F14))</f>
        <v>Engine Oil Filter</v>
      </c>
      <c r="G14" s="17">
        <f>IF(Raw_Data!G14="","",IF(VALUE(Raw_Data!G14)&lt;=0,"Invalid",VALUE(Raw_Data!G14)))</f>
        <v>264</v>
      </c>
      <c r="H14" s="17">
        <f>IF(Raw_Data!H14="","",IF(VALUE(Raw_Data!H14)&lt;=0,"Invalid",VALUE(Raw_Data!H14)))</f>
        <v>216</v>
      </c>
      <c r="I14" s="23">
        <f>IFERROR(VALUE(SUBSTITUTE(SUBSTITUTE(Raw_Data!I14,"₹",""),",","")),"")</f>
        <v>13410.14</v>
      </c>
      <c r="J14" s="17" t="str">
        <f>IF(TRIM(Raw_Data!J14)="","Not Specified",PROPER(TRIM(Raw_Data!J14)))</f>
        <v>High</v>
      </c>
      <c r="K14" s="17" t="str">
        <f>IF(TRIM(Raw_Data!K14)="","Not Specified",IFERROR(INDEX(Lookup_Tables!$E$6:$E$13,MATCH(TRIM(Raw_Data!K14),Lookup_Tables!$D$6:$D$13,0)),"Unknown - Review"))</f>
        <v>Approved</v>
      </c>
      <c r="L14" s="17" t="str">
        <f>IF(TRIM(Raw_Data!L14)="","",PROPER(TRIM(Raw_Data!L14)))</f>
        <v>Stores Officer</v>
      </c>
      <c r="M14" s="22">
        <f>IF(Raw_Data!M14="","",IF(ISNUMBER(Raw_Data!M14),Raw_Data!M14,IF(ISNUMBER(SEARCH("/",Raw_Data!M14)),IFERROR(DATE(VALUE(RIGHT(Raw_Data!M14,4)),VALUE(MID(Raw_Data!M14,4,2)),VALUE(LEFT(Raw_Data!M14,2))),"Invalid Date"),IFERROR(DATEVALUE(Raw_Data!M14),"Invalid Date"))))</f>
        <v>45980</v>
      </c>
      <c r="N14" s="22">
        <f>IF(Raw_Data!N14="","",IF(ISNUMBER(Raw_Data!N14),Raw_Data!N14,IF(ISNUMBER(SEARCH("/",Raw_Data!N14)),IFERROR(DATE(VALUE(RIGHT(Raw_Data!N14,4)),VALUE(MID(Raw_Data!N14,4,2)),VALUE(LEFT(Raw_Data!N14,2))),"Invalid Date"),IFERROR(DATEVALUE(Raw_Data!N14),"Invalid Date"))))</f>
        <v>45991</v>
      </c>
      <c r="O14" s="22" t="str">
        <f>IF(Raw_Data!O14="","",IF(ISNUMBER(Raw_Data!O14),Raw_Data!O14,IF(ISNUMBER(SEARCH("/",Raw_Data!O14)),IFERROR(DATE(VALUE(RIGHT(Raw_Data!O14,4)),VALUE(MID(Raw_Data!O14,4,2)),VALUE(LEFT(Raw_Data!O14,2))),"Invalid Date"),IFERROR(DATEVALUE(Raw_Data!O14),"Invalid Date"))))</f>
        <v/>
      </c>
      <c r="P14" s="17" t="str">
        <f>IF(OR(TRIM(Raw_Data!P14)="",TRIM(Raw_Data!P14)="N/A",TRIM(Raw_Data!P14)="TBD",TRIM(Raw_Data!P14)="-"),"Not Assigned",PROPER(TRIM(Raw_Data!P14)))</f>
        <v>Rapid Vendors Ltd</v>
      </c>
      <c r="Q14" s="24">
        <f t="shared" si="0"/>
        <v>2896590.2399999998</v>
      </c>
      <c r="R14" s="17" t="str">
        <f t="shared" si="1"/>
        <v/>
      </c>
      <c r="S14" s="17" t="str">
        <f>IF(COUNTIF($A$2:A14,A14)&gt;1,"Duplicate","Unique")</f>
        <v>Unique</v>
      </c>
      <c r="T14" s="17" t="str">
        <f t="shared" si="2"/>
        <v>No</v>
      </c>
      <c r="U14" s="17" t="str">
        <f t="shared" si="3"/>
        <v>No</v>
      </c>
      <c r="V14" s="17" t="str">
        <f t="shared" si="4"/>
        <v>Yes</v>
      </c>
      <c r="W14" s="17" t="str">
        <f t="shared" si="5"/>
        <v>Nov-2025</v>
      </c>
    </row>
    <row r="15" spans="1:23" x14ac:dyDescent="0.3">
      <c r="A15" s="17" t="str">
        <f>TRIM(Raw_Data!A15)</f>
        <v>REQ-2025-0014</v>
      </c>
      <c r="B15" s="22">
        <f>IF(Raw_Data!B15="","",IF(ISNUMBER(Raw_Data!B15),Raw_Data!B15,IF(ISNUMBER(SEARCH("/",Raw_Data!B15)),IFERROR(DATE(VALUE(RIGHT(Raw_Data!B15,4)),VALUE(MID(Raw_Data!B15,4,2)),VALUE(LEFT(Raw_Data!B15,2))),"Invalid Date"),IFERROR(DATEVALUE(Raw_Data!B15),"Invalid Date"))))</f>
        <v>45997</v>
      </c>
      <c r="C15" s="17" t="str">
        <f>IF(TRIM(Raw_Data!C15)="","",PROPER(TRIM(Raw_Data!C15)))</f>
        <v>Unit C - Engineers</v>
      </c>
      <c r="D15" s="17" t="str">
        <f>IF(TRIM(Raw_Data!D15)="","Not Specified",IFERROR(INDEX(Lookup_Tables!$H$6:$H$12,MATCH(TRIM(Raw_Data!D15),Lookup_Tables!$G$6:$G$12,0)),"Unknown - Review"))</f>
        <v>Eastern</v>
      </c>
      <c r="E15" s="17" t="str">
        <f>IF(TRIM(Raw_Data!E15)="","Not Specified",IFERROR(INDEX(Lookup_Tables!$B$6:$B$18,MATCH(TRIM(Raw_Data!E15),Lookup_Tables!$A$6:$A$18,0)),"Unknown - Review"))</f>
        <v>Communication Equipment</v>
      </c>
      <c r="F15" s="17" t="str">
        <f>IF(TRIM(Raw_Data!F15)="","",TRIM(Raw_Data!F15))</f>
        <v>Headset Set</v>
      </c>
      <c r="G15" s="17">
        <f>IF(Raw_Data!G15="","",IF(VALUE(Raw_Data!G15)&lt;=0,"Invalid",VALUE(Raw_Data!G15)))</f>
        <v>424</v>
      </c>
      <c r="H15" s="17">
        <f>IF(Raw_Data!H15="","",IF(VALUE(Raw_Data!H15)&lt;=0,"Invalid",VALUE(Raw_Data!H15)))</f>
        <v>336</v>
      </c>
      <c r="I15" s="23">
        <f>IFERROR(VALUE(SUBSTITUTE(SUBSTITUTE(Raw_Data!I15,"₹",""),",","")),"")</f>
        <v>36324</v>
      </c>
      <c r="J15" s="17" t="str">
        <f>IF(TRIM(Raw_Data!J15)="","Not Specified",PROPER(TRIM(Raw_Data!J15)))</f>
        <v>Low</v>
      </c>
      <c r="K15" s="17" t="str">
        <f>IF(TRIM(Raw_Data!K15)="","Not Specified",IFERROR(INDEX(Lookup_Tables!$E$6:$E$13,MATCH(TRIM(Raw_Data!K15),Lookup_Tables!$D$6:$D$13,0)),"Unknown - Review"))</f>
        <v>Dispatched</v>
      </c>
      <c r="L15" s="17" t="str">
        <f>IF(TRIM(Raw_Data!L15)="","",PROPER(TRIM(Raw_Data!L15)))</f>
        <v>Quartermaster</v>
      </c>
      <c r="M15" s="22">
        <f>IF(Raw_Data!M15="","",IF(ISNUMBER(Raw_Data!M15),Raw_Data!M15,IF(ISNUMBER(SEARCH("/",Raw_Data!M15)),IFERROR(DATE(VALUE(RIGHT(Raw_Data!M15,4)),VALUE(MID(Raw_Data!M15,4,2)),VALUE(LEFT(Raw_Data!M15,2))),"Invalid Date"),IFERROR(DATEVALUE(Raw_Data!M15),"Invalid Date"))))</f>
        <v>46000</v>
      </c>
      <c r="N15" s="22" t="str">
        <f>IF(Raw_Data!N15="","",IF(ISNUMBER(Raw_Data!N15),Raw_Data!N15,IF(ISNUMBER(SEARCH("/",Raw_Data!N15)),IFERROR(DATE(VALUE(RIGHT(Raw_Data!N15,4)),VALUE(MID(Raw_Data!N15,4,2)),VALUE(LEFT(Raw_Data!N15,2))),"Invalid Date"),IFERROR(DATEVALUE(Raw_Data!N15),"Invalid Date"))))</f>
        <v/>
      </c>
      <c r="O15" s="22" t="str">
        <f>IF(Raw_Data!O15="","",IF(ISNUMBER(Raw_Data!O15),Raw_Data!O15,IF(ISNUMBER(SEARCH("/",Raw_Data!O15)),IFERROR(DATE(VALUE(RIGHT(Raw_Data!O15,4)),VALUE(MID(Raw_Data!O15,4,2)),VALUE(LEFT(Raw_Data!O15,2))),"Invalid Date"),IFERROR(DATEVALUE(Raw_Data!O15),"Invalid Date"))))</f>
        <v/>
      </c>
      <c r="P15" s="17" t="str">
        <f>IF(OR(TRIM(Raw_Data!P15)="",TRIM(Raw_Data!P15)="N/A",TRIM(Raw_Data!P15)="TBD",TRIM(Raw_Data!P15)="-"),"Not Assigned",PROPER(TRIM(Raw_Data!P15)))</f>
        <v>Bharat Logistics Pvt Ltd</v>
      </c>
      <c r="Q15" s="24">
        <f t="shared" si="0"/>
        <v>12204864</v>
      </c>
      <c r="R15" s="17" t="str">
        <f t="shared" si="1"/>
        <v/>
      </c>
      <c r="S15" s="17" t="str">
        <f>IF(COUNTIF($A$2:A15,A15)&gt;1,"Duplicate","Unique")</f>
        <v>Unique</v>
      </c>
      <c r="T15" s="17" t="str">
        <f t="shared" si="2"/>
        <v>No</v>
      </c>
      <c r="U15" s="17" t="str">
        <f t="shared" si="3"/>
        <v>No</v>
      </c>
      <c r="V15" s="17" t="str">
        <f t="shared" si="4"/>
        <v>Yes</v>
      </c>
      <c r="W15" s="17" t="str">
        <f t="shared" si="5"/>
        <v>Dec-2025</v>
      </c>
    </row>
    <row r="16" spans="1:23" x14ac:dyDescent="0.3">
      <c r="A16" s="17" t="str">
        <f>TRIM(Raw_Data!A16)</f>
        <v>REQ-2025-0015</v>
      </c>
      <c r="B16" s="22">
        <f>IF(Raw_Data!B16="","",IF(ISNUMBER(Raw_Data!B16),Raw_Data!B16,IF(ISNUMBER(SEARCH("/",Raw_Data!B16)),IFERROR(DATE(VALUE(RIGHT(Raw_Data!B16,4)),VALUE(MID(Raw_Data!B16,4,2)),VALUE(LEFT(Raw_Data!B16,2))),"Invalid Date"),IFERROR(DATEVALUE(Raw_Data!B16),"Invalid Date"))))</f>
        <v>45891</v>
      </c>
      <c r="C16" s="17" t="str">
        <f>IF(TRIM(Raw_Data!C16)="","",PROPER(TRIM(Raw_Data!C16)))</f>
        <v>Unit H - Air Defence</v>
      </c>
      <c r="D16" s="17" t="str">
        <f>IF(TRIM(Raw_Data!D16)="","Not Specified",IFERROR(INDEX(Lookup_Tables!$H$6:$H$12,MATCH(TRIM(Raw_Data!D16),Lookup_Tables!$G$6:$G$12,0)),"Unknown - Review"))</f>
        <v>Eastern</v>
      </c>
      <c r="E16" s="17" t="str">
        <f>IF(TRIM(Raw_Data!E16)="","Not Specified",IFERROR(INDEX(Lookup_Tables!$B$6:$B$18,MATCH(TRIM(Raw_Data!E16),Lookup_Tables!$A$6:$A$18,0)),"Unknown - Review"))</f>
        <v>Medical Supplies</v>
      </c>
      <c r="F16" s="17" t="str">
        <f>IF(TRIM(Raw_Data!F16)="","",TRIM(Raw_Data!F16))</f>
        <v>First Aid Kit</v>
      </c>
      <c r="G16" s="17">
        <f>IF(Raw_Data!G16="","",IF(VALUE(Raw_Data!G16)&lt;=0,"Invalid",VALUE(Raw_Data!G16)))</f>
        <v>491</v>
      </c>
      <c r="H16" s="17" t="str">
        <f>IF(Raw_Data!H16="","",IF(VALUE(Raw_Data!H16)&lt;=0,"Invalid",VALUE(Raw_Data!H16)))</f>
        <v/>
      </c>
      <c r="I16" s="23">
        <f>IFERROR(VALUE(SUBSTITUTE(SUBSTITUTE(Raw_Data!I16,"₹",""),",","")),"")</f>
        <v>19999.419999999998</v>
      </c>
      <c r="J16" s="17" t="str">
        <f>IF(TRIM(Raw_Data!J16)="","Not Specified",PROPER(TRIM(Raw_Data!J16)))</f>
        <v>Routine</v>
      </c>
      <c r="K16" s="17" t="str">
        <f>IF(TRIM(Raw_Data!K16)="","Not Specified",IFERROR(INDEX(Lookup_Tables!$E$6:$E$13,MATCH(TRIM(Raw_Data!K16),Lookup_Tables!$D$6:$D$13,0)),"Unknown - Review"))</f>
        <v>Pending</v>
      </c>
      <c r="L16" s="17" t="str">
        <f>IF(TRIM(Raw_Data!L16)="","",PROPER(TRIM(Raw_Data!L16)))</f>
        <v>Stores Officer</v>
      </c>
      <c r="M16" s="22" t="str">
        <f>IF(Raw_Data!M16="","",IF(ISNUMBER(Raw_Data!M16),Raw_Data!M16,IF(ISNUMBER(SEARCH("/",Raw_Data!M16)),IFERROR(DATE(VALUE(RIGHT(Raw_Data!M16,4)),VALUE(MID(Raw_Data!M16,4,2)),VALUE(LEFT(Raw_Data!M16,2))),"Invalid Date"),IFERROR(DATEVALUE(Raw_Data!M16),"Invalid Date"))))</f>
        <v/>
      </c>
      <c r="N16" s="22" t="str">
        <f>IF(Raw_Data!N16="","",IF(ISNUMBER(Raw_Data!N16),Raw_Data!N16,IF(ISNUMBER(SEARCH("/",Raw_Data!N16)),IFERROR(DATE(VALUE(RIGHT(Raw_Data!N16,4)),VALUE(MID(Raw_Data!N16,4,2)),VALUE(LEFT(Raw_Data!N16,2))),"Invalid Date"),IFERROR(DATEVALUE(Raw_Data!N16),"Invalid Date"))))</f>
        <v/>
      </c>
      <c r="O16" s="22" t="str">
        <f>IF(Raw_Data!O16="","",IF(ISNUMBER(Raw_Data!O16),Raw_Data!O16,IF(ISNUMBER(SEARCH("/",Raw_Data!O16)),IFERROR(DATE(VALUE(RIGHT(Raw_Data!O16,4)),VALUE(MID(Raw_Data!O16,4,2)),VALUE(LEFT(Raw_Data!O16,2))),"Invalid Date"),IFERROR(DATEVALUE(Raw_Data!O16),"Invalid Date"))))</f>
        <v/>
      </c>
      <c r="P16" s="17" t="str">
        <f>IF(OR(TRIM(Raw_Data!P16)="",TRIM(Raw_Data!P16)="N/A",TRIM(Raw_Data!P16)="TBD",TRIM(Raw_Data!P16)="-"),"Not Assigned",PROPER(TRIM(Raw_Data!P16)))</f>
        <v>Not Assigned</v>
      </c>
      <c r="Q16" s="24" t="str">
        <f t="shared" si="0"/>
        <v/>
      </c>
      <c r="R16" s="17" t="str">
        <f t="shared" si="1"/>
        <v/>
      </c>
      <c r="S16" s="17" t="str">
        <f>IF(COUNTIF($A$2:A16,A16)&gt;1,"Duplicate","Unique")</f>
        <v>Unique</v>
      </c>
      <c r="T16" s="17" t="str">
        <f t="shared" si="2"/>
        <v>No</v>
      </c>
      <c r="U16" s="17" t="str">
        <f t="shared" si="3"/>
        <v>No</v>
      </c>
      <c r="V16" s="17" t="str">
        <f t="shared" si="4"/>
        <v>Yes</v>
      </c>
      <c r="W16" s="17" t="str">
        <f t="shared" si="5"/>
        <v>Aug-2025</v>
      </c>
    </row>
    <row r="17" spans="1:23" x14ac:dyDescent="0.3">
      <c r="A17" s="17" t="str">
        <f>TRIM(Raw_Data!A17)</f>
        <v>REQ-2025-0016</v>
      </c>
      <c r="B17" s="22">
        <f>IF(Raw_Data!B17="","",IF(ISNUMBER(Raw_Data!B17),Raw_Data!B17,IF(ISNUMBER(SEARCH("/",Raw_Data!B17)),IFERROR(DATE(VALUE(RIGHT(Raw_Data!B17,4)),VALUE(MID(Raw_Data!B17,4,2)),VALUE(LEFT(Raw_Data!B17,2))),"Invalid Date"),IFERROR(DATEVALUE(Raw_Data!B17),"Invalid Date"))))</f>
        <v>45699</v>
      </c>
      <c r="C17" s="17" t="str">
        <f>IF(TRIM(Raw_Data!C17)="","",PROPER(TRIM(Raw_Data!C17)))</f>
        <v>Unit D - Signals</v>
      </c>
      <c r="D17" s="17" t="str">
        <f>IF(TRIM(Raw_Data!D17)="","Not Specified",IFERROR(INDEX(Lookup_Tables!$H$6:$H$12,MATCH(TRIM(Raw_Data!D17),Lookup_Tables!$G$6:$G$12,0)),"Unknown - Review"))</f>
        <v>Western</v>
      </c>
      <c r="E17" s="17" t="str">
        <f>IF(TRIM(Raw_Data!E17)="","Not Specified",IFERROR(INDEX(Lookup_Tables!$B$6:$B$18,MATCH(TRIM(Raw_Data!E17),Lookup_Tables!$A$6:$A$18,0)),"Unknown - Review"))</f>
        <v>Fuel &amp; Lubricants</v>
      </c>
      <c r="F17" s="17" t="str">
        <f>IF(TRIM(Raw_Data!F17)="","",TRIM(Raw_Data!F17))</f>
        <v>Kerosene (Drum 200L)</v>
      </c>
      <c r="G17" s="17">
        <f>IF(Raw_Data!G17="","",IF(VALUE(Raw_Data!G17)&lt;=0,"Invalid",VALUE(Raw_Data!G17)))</f>
        <v>360</v>
      </c>
      <c r="H17" s="17" t="str">
        <f>IF(Raw_Data!H17="","",IF(VALUE(Raw_Data!H17)&lt;=0,"Invalid",VALUE(Raw_Data!H17)))</f>
        <v/>
      </c>
      <c r="I17" s="23">
        <f>IFERROR(VALUE(SUBSTITUTE(SUBSTITUTE(Raw_Data!I17,"₹",""),",","")),"")</f>
        <v>9745.7900000000009</v>
      </c>
      <c r="J17" s="17" t="str">
        <f>IF(TRIM(Raw_Data!J17)="","Not Specified",PROPER(TRIM(Raw_Data!J17)))</f>
        <v>Medium</v>
      </c>
      <c r="K17" s="17" t="str">
        <f>IF(TRIM(Raw_Data!K17)="","Not Specified",IFERROR(INDEX(Lookup_Tables!$E$6:$E$13,MATCH(TRIM(Raw_Data!K17),Lookup_Tables!$D$6:$D$13,0)),"Unknown - Review"))</f>
        <v>Pending</v>
      </c>
      <c r="L17" s="17" t="str">
        <f>IF(TRIM(Raw_Data!L17)="","",PROPER(TRIM(Raw_Data!L17)))</f>
        <v>Unit Commander</v>
      </c>
      <c r="M17" s="22" t="str">
        <f>IF(Raw_Data!M17="","",IF(ISNUMBER(Raw_Data!M17),Raw_Data!M17,IF(ISNUMBER(SEARCH("/",Raw_Data!M17)),IFERROR(DATE(VALUE(RIGHT(Raw_Data!M17,4)),VALUE(MID(Raw_Data!M17,4,2)),VALUE(LEFT(Raw_Data!M17,2))),"Invalid Date"),IFERROR(DATEVALUE(Raw_Data!M17),"Invalid Date"))))</f>
        <v/>
      </c>
      <c r="N17" s="22" t="str">
        <f>IF(Raw_Data!N17="","",IF(ISNUMBER(Raw_Data!N17),Raw_Data!N17,IF(ISNUMBER(SEARCH("/",Raw_Data!N17)),IFERROR(DATE(VALUE(RIGHT(Raw_Data!N17,4)),VALUE(MID(Raw_Data!N17,4,2)),VALUE(LEFT(Raw_Data!N17,2))),"Invalid Date"),IFERROR(DATEVALUE(Raw_Data!N17),"Invalid Date"))))</f>
        <v/>
      </c>
      <c r="O17" s="22" t="str">
        <f>IF(Raw_Data!O17="","",IF(ISNUMBER(Raw_Data!O17),Raw_Data!O17,IF(ISNUMBER(SEARCH("/",Raw_Data!O17)),IFERROR(DATE(VALUE(RIGHT(Raw_Data!O17,4)),VALUE(MID(Raw_Data!O17,4,2)),VALUE(LEFT(Raw_Data!O17,2))),"Invalid Date"),IFERROR(DATEVALUE(Raw_Data!O17),"Invalid Date"))))</f>
        <v/>
      </c>
      <c r="P17" s="17" t="str">
        <f>IF(OR(TRIM(Raw_Data!P17)="",TRIM(Raw_Data!P17)="N/A",TRIM(Raw_Data!P17)="TBD",TRIM(Raw_Data!P17)="-"),"Not Assigned",PROPER(TRIM(Raw_Data!P17)))</f>
        <v>Om Suppliers</v>
      </c>
      <c r="Q17" s="24" t="str">
        <f t="shared" si="0"/>
        <v/>
      </c>
      <c r="R17" s="17" t="str">
        <f t="shared" si="1"/>
        <v/>
      </c>
      <c r="S17" s="17" t="str">
        <f>IF(COUNTIF($A$2:A17,A17)&gt;1,"Duplicate","Unique")</f>
        <v>Unique</v>
      </c>
      <c r="T17" s="17" t="str">
        <f t="shared" si="2"/>
        <v>No</v>
      </c>
      <c r="U17" s="17" t="str">
        <f t="shared" si="3"/>
        <v>No</v>
      </c>
      <c r="V17" s="17" t="str">
        <f t="shared" si="4"/>
        <v>Yes</v>
      </c>
      <c r="W17" s="17" t="str">
        <f t="shared" si="5"/>
        <v>Feb-2025</v>
      </c>
    </row>
    <row r="18" spans="1:23" x14ac:dyDescent="0.3">
      <c r="A18" s="17" t="str">
        <f>TRIM(Raw_Data!A18)</f>
        <v>REQ-2025-0017</v>
      </c>
      <c r="B18" s="22">
        <f>IF(Raw_Data!B18="","",IF(ISNUMBER(Raw_Data!B18),Raw_Data!B18,IF(ISNUMBER(SEARCH("/",Raw_Data!B18)),IFERROR(DATE(VALUE(RIGHT(Raw_Data!B18,4)),VALUE(MID(Raw_Data!B18,4,2)),VALUE(LEFT(Raw_Data!B18,2))),"Invalid Date"),IFERROR(DATEVALUE(Raw_Data!B18),"Invalid Date"))))</f>
        <v>45770</v>
      </c>
      <c r="C18" s="17" t="str">
        <f>IF(TRIM(Raw_Data!C18)="","",PROPER(TRIM(Raw_Data!C18)))</f>
        <v>Unit G - Transport Corps</v>
      </c>
      <c r="D18" s="17" t="str">
        <f>IF(TRIM(Raw_Data!D18)="","Not Specified",IFERROR(INDEX(Lookup_Tables!$H$6:$H$12,MATCH(TRIM(Raw_Data!D18),Lookup_Tables!$G$6:$G$12,0)),"Unknown - Review"))</f>
        <v>Southern</v>
      </c>
      <c r="E18" s="17" t="str">
        <f>IF(TRIM(Raw_Data!E18)="","Not Specified",IFERROR(INDEX(Lookup_Tables!$B$6:$B$18,MATCH(TRIM(Raw_Data!E18),Lookup_Tables!$A$6:$A$18,0)),"Unknown - Review"))</f>
        <v>Tents &amp; Shelter</v>
      </c>
      <c r="F18" s="17" t="str">
        <f>IF(TRIM(Raw_Data!F18)="","",TRIM(Raw_Data!F18))</f>
        <v>Ground Sheet</v>
      </c>
      <c r="G18" s="17" t="str">
        <f>IF(Raw_Data!G18="","",IF(VALUE(Raw_Data!G18)&lt;=0,"Invalid",VALUE(Raw_Data!G18)))</f>
        <v>Invalid</v>
      </c>
      <c r="H18" s="17">
        <f>IF(Raw_Data!H18="","",IF(VALUE(Raw_Data!H18)&lt;=0,"Invalid",VALUE(Raw_Data!H18)))</f>
        <v>228</v>
      </c>
      <c r="I18" s="23">
        <f>IFERROR(VALUE(SUBSTITUTE(SUBSTITUTE(Raw_Data!I18,"₹",""),",","")),"")</f>
        <v>18283.599999999999</v>
      </c>
      <c r="J18" s="17" t="str">
        <f>IF(TRIM(Raw_Data!J18)="","Not Specified",PROPER(TRIM(Raw_Data!J18)))</f>
        <v>Low</v>
      </c>
      <c r="K18" s="17" t="str">
        <f>IF(TRIM(Raw_Data!K18)="","Not Specified",IFERROR(INDEX(Lookup_Tables!$E$6:$E$13,MATCH(TRIM(Raw_Data!K18),Lookup_Tables!$D$6:$D$13,0)),"Unknown - Review"))</f>
        <v>Dispatched</v>
      </c>
      <c r="L18" s="17" t="str">
        <f>IF(TRIM(Raw_Data!L18)="","",PROPER(TRIM(Raw_Data!L18)))</f>
        <v>Unit Commander</v>
      </c>
      <c r="M18" s="22">
        <f>IF(Raw_Data!M18="","",IF(ISNUMBER(Raw_Data!M18),Raw_Data!M18,IF(ISNUMBER(SEARCH("/",Raw_Data!M18)),IFERROR(DATE(VALUE(RIGHT(Raw_Data!M18,4)),VALUE(MID(Raw_Data!M18,4,2)),VALUE(LEFT(Raw_Data!M18,2))),"Invalid Date"),IFERROR(DATEVALUE(Raw_Data!M18),"Invalid Date"))))</f>
        <v>45773</v>
      </c>
      <c r="N18" s="22">
        <f>IF(Raw_Data!N18="","",IF(ISNUMBER(Raw_Data!N18),Raw_Data!N18,IF(ISNUMBER(SEARCH("/",Raw_Data!N18)),IFERROR(DATE(VALUE(RIGHT(Raw_Data!N18,4)),VALUE(MID(Raw_Data!N18,4,2)),VALUE(LEFT(Raw_Data!N18,2))),"Invalid Date"),IFERROR(DATEVALUE(Raw_Data!N18),"Invalid Date"))))</f>
        <v>45792</v>
      </c>
      <c r="O18" s="22" t="str">
        <f>IF(Raw_Data!O18="","",IF(ISNUMBER(Raw_Data!O18),Raw_Data!O18,IF(ISNUMBER(SEARCH("/",Raw_Data!O18)),IFERROR(DATE(VALUE(RIGHT(Raw_Data!O18,4)),VALUE(MID(Raw_Data!O18,4,2)),VALUE(LEFT(Raw_Data!O18,2))),"Invalid Date"),IFERROR(DATEVALUE(Raw_Data!O18),"Invalid Date"))))</f>
        <v/>
      </c>
      <c r="P18" s="17" t="str">
        <f>IF(OR(TRIM(Raw_Data!P18)="",TRIM(Raw_Data!P18)="N/A",TRIM(Raw_Data!P18)="TBD",TRIM(Raw_Data!P18)="-"),"Not Assigned",PROPER(TRIM(Raw_Data!P18)))</f>
        <v>National Defence Stores</v>
      </c>
      <c r="Q18" s="24">
        <f t="shared" si="0"/>
        <v>4168660.8</v>
      </c>
      <c r="R18" s="17" t="str">
        <f t="shared" si="1"/>
        <v/>
      </c>
      <c r="S18" s="17" t="str">
        <f>IF(COUNTIF($A$2:A18,A18)&gt;1,"Duplicate","Unique")</f>
        <v>Unique</v>
      </c>
      <c r="T18" s="17" t="str">
        <f t="shared" si="2"/>
        <v>No</v>
      </c>
      <c r="U18" s="17" t="str">
        <f t="shared" si="3"/>
        <v>No</v>
      </c>
      <c r="V18" s="17" t="str">
        <f t="shared" si="4"/>
        <v>No</v>
      </c>
      <c r="W18" s="17" t="str">
        <f t="shared" si="5"/>
        <v>Apr-2025</v>
      </c>
    </row>
    <row r="19" spans="1:23" x14ac:dyDescent="0.3">
      <c r="A19" s="17" t="str">
        <f>TRIM(Raw_Data!A19)</f>
        <v>REQ-2025-0018</v>
      </c>
      <c r="B19" s="22">
        <f>IF(Raw_Data!B19="","",IF(ISNUMBER(Raw_Data!B19),Raw_Data!B19,IF(ISNUMBER(SEARCH("/",Raw_Data!B19)),IFERROR(DATE(VALUE(RIGHT(Raw_Data!B19,4)),VALUE(MID(Raw_Data!B19,4,2)),VALUE(LEFT(Raw_Data!B19,2))),"Invalid Date"),IFERROR(DATEVALUE(Raw_Data!B19),"Invalid Date"))))</f>
        <v>45837</v>
      </c>
      <c r="C19" s="17" t="str">
        <f>IF(TRIM(Raw_Data!C19)="","",PROPER(TRIM(Raw_Data!C19)))</f>
        <v>Unit B - Artillery</v>
      </c>
      <c r="D19" s="17" t="str">
        <f>IF(TRIM(Raw_Data!D19)="","Not Specified",IFERROR(INDEX(Lookup_Tables!$H$6:$H$12,MATCH(TRIM(Raw_Data!D19),Lookup_Tables!$G$6:$G$12,0)),"Unknown - Review"))</f>
        <v>Southern</v>
      </c>
      <c r="E19" s="17" t="str">
        <f>IF(TRIM(Raw_Data!E19)="","Not Specified",IFERROR(INDEX(Lookup_Tables!$B$6:$B$18,MATCH(TRIM(Raw_Data!E19),Lookup_Tables!$A$6:$A$18,0)),"Unknown - Review"))</f>
        <v>Tents &amp; Shelter</v>
      </c>
      <c r="F19" s="17" t="str">
        <f>IF(TRIM(Raw_Data!F19)="","",TRIM(Raw_Data!F19))</f>
        <v>10-Man Tent</v>
      </c>
      <c r="G19" s="17" t="str">
        <f>IF(Raw_Data!G19="","",IF(VALUE(Raw_Data!G19)&lt;=0,"Invalid",VALUE(Raw_Data!G19)))</f>
        <v>Invalid</v>
      </c>
      <c r="H19" s="17">
        <f>IF(Raw_Data!H19="","",IF(VALUE(Raw_Data!H19)&lt;=0,"Invalid",VALUE(Raw_Data!H19)))</f>
        <v>372</v>
      </c>
      <c r="I19" s="23">
        <f>IFERROR(VALUE(SUBSTITUTE(SUBSTITUTE(Raw_Data!I19,"₹",""),",","")),"")</f>
        <v>28016.9</v>
      </c>
      <c r="J19" s="17" t="str">
        <f>IF(TRIM(Raw_Data!J19)="","Not Specified",PROPER(TRIM(Raw_Data!J19)))</f>
        <v>High</v>
      </c>
      <c r="K19" s="17" t="str">
        <f>IF(TRIM(Raw_Data!K19)="","Not Specified",IFERROR(INDEX(Lookup_Tables!$E$6:$E$13,MATCH(TRIM(Raw_Data!K19),Lookup_Tables!$D$6:$D$13,0)),"Unknown - Review"))</f>
        <v>Approved</v>
      </c>
      <c r="L19" s="17" t="str">
        <f>IF(TRIM(Raw_Data!L19)="","",PROPER(TRIM(Raw_Data!L19)))</f>
        <v>Quartermaster</v>
      </c>
      <c r="M19" s="22">
        <f>IF(Raw_Data!M19="","",IF(ISNUMBER(Raw_Data!M19),Raw_Data!M19,IF(ISNUMBER(SEARCH("/",Raw_Data!M19)),IFERROR(DATE(VALUE(RIGHT(Raw_Data!M19,4)),VALUE(MID(Raw_Data!M19,4,2)),VALUE(LEFT(Raw_Data!M19,2))),"Invalid Date"),IFERROR(DATEVALUE(Raw_Data!M19),"Invalid Date"))))</f>
        <v>45841</v>
      </c>
      <c r="N19" s="22">
        <f>IF(Raw_Data!N19="","",IF(ISNUMBER(Raw_Data!N19),Raw_Data!N19,IF(ISNUMBER(SEARCH("/",Raw_Data!N19)),IFERROR(DATE(VALUE(RIGHT(Raw_Data!N19,4)),VALUE(MID(Raw_Data!N19,4,2)),VALUE(LEFT(Raw_Data!N19,2))),"Invalid Date"),IFERROR(DATEVALUE(Raw_Data!N19),"Invalid Date"))))</f>
        <v>45850</v>
      </c>
      <c r="O19" s="22" t="str">
        <f>IF(Raw_Data!O19="","",IF(ISNUMBER(Raw_Data!O19),Raw_Data!O19,IF(ISNUMBER(SEARCH("/",Raw_Data!O19)),IFERROR(DATE(VALUE(RIGHT(Raw_Data!O19,4)),VALUE(MID(Raw_Data!O19,4,2)),VALUE(LEFT(Raw_Data!O19,2))),"Invalid Date"),IFERROR(DATEVALUE(Raw_Data!O19),"Invalid Date"))))</f>
        <v/>
      </c>
      <c r="P19" s="17" t="str">
        <f>IF(OR(TRIM(Raw_Data!P19)="",TRIM(Raw_Data!P19)="N/A",TRIM(Raw_Data!P19)="TBD",TRIM(Raw_Data!P19)="-"),"Not Assigned",PROPER(TRIM(Raw_Data!P19)))</f>
        <v>Central Ordnance Suppliers</v>
      </c>
      <c r="Q19" s="24">
        <f t="shared" si="0"/>
        <v>10422286.800000001</v>
      </c>
      <c r="R19" s="17" t="str">
        <f t="shared" si="1"/>
        <v/>
      </c>
      <c r="S19" s="17" t="str">
        <f>IF(COUNTIF($A$2:A19,A19)&gt;1,"Duplicate","Unique")</f>
        <v>Unique</v>
      </c>
      <c r="T19" s="17" t="str">
        <f t="shared" si="2"/>
        <v>No</v>
      </c>
      <c r="U19" s="17" t="str">
        <f t="shared" si="3"/>
        <v>No</v>
      </c>
      <c r="V19" s="17" t="str">
        <f t="shared" si="4"/>
        <v>No</v>
      </c>
      <c r="W19" s="17" t="str">
        <f t="shared" si="5"/>
        <v>Jun-2025</v>
      </c>
    </row>
    <row r="20" spans="1:23" x14ac:dyDescent="0.3">
      <c r="A20" s="17" t="str">
        <f>TRIM(Raw_Data!A20)</f>
        <v>REQ-2025-0019</v>
      </c>
      <c r="B20" s="22">
        <f>IF(Raw_Data!B20="","",IF(ISNUMBER(Raw_Data!B20),Raw_Data!B20,IF(ISNUMBER(SEARCH("/",Raw_Data!B20)),IFERROR(DATE(VALUE(RIGHT(Raw_Data!B20,4)),VALUE(MID(Raw_Data!B20,4,2)),VALUE(LEFT(Raw_Data!B20,2))),"Invalid Date"),IFERROR(DATEVALUE(Raw_Data!B20),"Invalid Date"))))</f>
        <v>46014</v>
      </c>
      <c r="C20" s="17" t="str">
        <f>IF(TRIM(Raw_Data!C20)="","",PROPER(TRIM(Raw_Data!C20)))</f>
        <v>Unit D - Signals</v>
      </c>
      <c r="D20" s="17" t="str">
        <f>IF(TRIM(Raw_Data!D20)="","Not Specified",IFERROR(INDEX(Lookup_Tables!$H$6:$H$12,MATCH(TRIM(Raw_Data!D20),Lookup_Tables!$G$6:$G$12,0)),"Unknown - Review"))</f>
        <v>Western</v>
      </c>
      <c r="E20" s="17" t="str">
        <f>IF(TRIM(Raw_Data!E20)="","Not Specified",IFERROR(INDEX(Lookup_Tables!$B$6:$B$18,MATCH(TRIM(Raw_Data!E20),Lookup_Tables!$A$6:$A$18,0)),"Unknown - Review"))</f>
        <v>Medical Supplies</v>
      </c>
      <c r="F20" s="17" t="str">
        <f>IF(TRIM(Raw_Data!F20)="","",TRIM(Raw_Data!F20))</f>
        <v>First Aid Kit</v>
      </c>
      <c r="G20" s="17">
        <f>IF(Raw_Data!G20="","",IF(VALUE(Raw_Data!G20)&lt;=0,"Invalid",VALUE(Raw_Data!G20)))</f>
        <v>182</v>
      </c>
      <c r="H20" s="17">
        <f>IF(Raw_Data!H20="","",IF(VALUE(Raw_Data!H20)&lt;=0,"Invalid",VALUE(Raw_Data!H20)))</f>
        <v>131</v>
      </c>
      <c r="I20" s="23">
        <f>IFERROR(VALUE(SUBSTITUTE(SUBSTITUTE(Raw_Data!I20,"₹",""),",","")),"")</f>
        <v>29192.31</v>
      </c>
      <c r="J20" s="17" t="str">
        <f>IF(TRIM(Raw_Data!J20)="","Not Specified",PROPER(TRIM(Raw_Data!J20)))</f>
        <v>High</v>
      </c>
      <c r="K20" s="17" t="str">
        <f>IF(TRIM(Raw_Data!K20)="","Not Specified",IFERROR(INDEX(Lookup_Tables!$E$6:$E$13,MATCH(TRIM(Raw_Data!K20),Lookup_Tables!$D$6:$D$13,0)),"Unknown - Review"))</f>
        <v>Delivered</v>
      </c>
      <c r="L20" s="17" t="str">
        <f>IF(TRIM(Raw_Data!L20)="","",PROPER(TRIM(Raw_Data!L20)))</f>
        <v>Quartermaster</v>
      </c>
      <c r="M20" s="22">
        <f>IF(Raw_Data!M20="","",IF(ISNUMBER(Raw_Data!M20),Raw_Data!M20,IF(ISNUMBER(SEARCH("/",Raw_Data!M20)),IFERROR(DATE(VALUE(RIGHT(Raw_Data!M20,4)),VALUE(MID(Raw_Data!M20,4,2)),VALUE(LEFT(Raw_Data!M20,2))),"Invalid Date"),IFERROR(DATEVALUE(Raw_Data!M20),"Invalid Date"))))</f>
        <v>46015</v>
      </c>
      <c r="N20" s="22">
        <f>IF(Raw_Data!N20="","",IF(ISNUMBER(Raw_Data!N20),Raw_Data!N20,IF(ISNUMBER(SEARCH("/",Raw_Data!N20)),IFERROR(DATE(VALUE(RIGHT(Raw_Data!N20,4)),VALUE(MID(Raw_Data!N20,4,2)),VALUE(LEFT(Raw_Data!N20,2))),"Invalid Date"),IFERROR(DATEVALUE(Raw_Data!N20),"Invalid Date"))))</f>
        <v>46033</v>
      </c>
      <c r="O20" s="22">
        <f>IF(Raw_Data!O20="","",IF(ISNUMBER(Raw_Data!O20),Raw_Data!O20,IF(ISNUMBER(SEARCH("/",Raw_Data!O20)),IFERROR(DATE(VALUE(RIGHT(Raw_Data!O20,4)),VALUE(MID(Raw_Data!O20,4,2)),VALUE(LEFT(Raw_Data!O20,2))),"Invalid Date"),IFERROR(DATEVALUE(Raw_Data!O20),"Invalid Date"))))</f>
        <v>46043</v>
      </c>
      <c r="P20" s="17" t="str">
        <f>IF(OR(TRIM(Raw_Data!P20)="",TRIM(Raw_Data!P20)="N/A",TRIM(Raw_Data!P20)="TBD",TRIM(Raw_Data!P20)="-"),"Not Assigned",PROPER(TRIM(Raw_Data!P20)))</f>
        <v>Sena Supply Co</v>
      </c>
      <c r="Q20" s="24">
        <f t="shared" si="0"/>
        <v>3824192.6100000003</v>
      </c>
      <c r="R20" s="17">
        <f t="shared" si="1"/>
        <v>10</v>
      </c>
      <c r="S20" s="17" t="str">
        <f>IF(COUNTIF($A$2:A20,A20)&gt;1,"Duplicate","Unique")</f>
        <v>Unique</v>
      </c>
      <c r="T20" s="17" t="str">
        <f t="shared" si="2"/>
        <v>No</v>
      </c>
      <c r="U20" s="17" t="str">
        <f t="shared" si="3"/>
        <v>No</v>
      </c>
      <c r="V20" s="17" t="str">
        <f t="shared" si="4"/>
        <v>Yes</v>
      </c>
      <c r="W20" s="17" t="str">
        <f t="shared" si="5"/>
        <v>Dec-2025</v>
      </c>
    </row>
    <row r="21" spans="1:23" x14ac:dyDescent="0.3">
      <c r="A21" s="17" t="str">
        <f>TRIM(Raw_Data!A21)</f>
        <v>REQ-2025-0020</v>
      </c>
      <c r="B21" s="22">
        <f>IF(Raw_Data!B21="","",IF(ISNUMBER(Raw_Data!B21),Raw_Data!B21,IF(ISNUMBER(SEARCH("/",Raw_Data!B21)),IFERROR(DATE(VALUE(RIGHT(Raw_Data!B21,4)),VALUE(MID(Raw_Data!B21,4,2)),VALUE(LEFT(Raw_Data!B21,2))),"Invalid Date"),IFERROR(DATEVALUE(Raw_Data!B21),"Invalid Date"))))</f>
        <v>45970</v>
      </c>
      <c r="C21" s="17" t="str">
        <f>IF(TRIM(Raw_Data!C21)="","",PROPER(TRIM(Raw_Data!C21)))</f>
        <v>Unit H - Air Defence</v>
      </c>
      <c r="D21" s="17" t="str">
        <f>IF(TRIM(Raw_Data!D21)="","Not Specified",IFERROR(INDEX(Lookup_Tables!$H$6:$H$12,MATCH(TRIM(Raw_Data!D21),Lookup_Tables!$G$6:$G$12,0)),"Unknown - Review"))</f>
        <v>Eastern</v>
      </c>
      <c r="E21" s="17" t="str">
        <f>IF(TRIM(Raw_Data!E21)="","Not Specified",IFERROR(INDEX(Lookup_Tables!$B$6:$B$18,MATCH(TRIM(Raw_Data!E21),Lookup_Tables!$A$6:$A$18,0)),"Unknown - Review"))</f>
        <v>Office &amp; IT Equipment</v>
      </c>
      <c r="F21" s="17" t="str">
        <f>IF(TRIM(Raw_Data!F21)="","",TRIM(Raw_Data!F21))</f>
        <v>UPS Backup Unit</v>
      </c>
      <c r="G21" s="17">
        <f>IF(Raw_Data!G21="","",IF(VALUE(Raw_Data!G21)&lt;=0,"Invalid",VALUE(Raw_Data!G21)))</f>
        <v>258</v>
      </c>
      <c r="H21" s="17">
        <f>IF(Raw_Data!H21="","",IF(VALUE(Raw_Data!H21)&lt;=0,"Invalid",VALUE(Raw_Data!H21)))</f>
        <v>197</v>
      </c>
      <c r="I21" s="23">
        <f>IFERROR(VALUE(SUBSTITUTE(SUBSTITUTE(Raw_Data!I21,"₹",""),",","")),"")</f>
        <v>35933</v>
      </c>
      <c r="J21" s="17" t="str">
        <f>IF(TRIM(Raw_Data!J21)="","Not Specified",PROPER(TRIM(Raw_Data!J21)))</f>
        <v>Low</v>
      </c>
      <c r="K21" s="17" t="str">
        <f>IF(TRIM(Raw_Data!K21)="","Not Specified",IFERROR(INDEX(Lookup_Tables!$E$6:$E$13,MATCH(TRIM(Raw_Data!K21),Lookup_Tables!$D$6:$D$13,0)),"Unknown - Review"))</f>
        <v>Delivered</v>
      </c>
      <c r="L21" s="17" t="str">
        <f>IF(TRIM(Raw_Data!L21)="","",PROPER(TRIM(Raw_Data!L21)))</f>
        <v>Quartermaster</v>
      </c>
      <c r="M21" s="22">
        <f>IF(Raw_Data!M21="","",IF(ISNUMBER(Raw_Data!M21),Raw_Data!M21,IF(ISNUMBER(SEARCH("/",Raw_Data!M21)),IFERROR(DATE(VALUE(RIGHT(Raw_Data!M21,4)),VALUE(MID(Raw_Data!M21,4,2)),VALUE(LEFT(Raw_Data!M21,2))),"Invalid Date"),IFERROR(DATEVALUE(Raw_Data!M21),"Invalid Date"))))</f>
        <v>45976</v>
      </c>
      <c r="N21" s="22">
        <f>IF(Raw_Data!N21="","",IF(ISNUMBER(Raw_Data!N21),Raw_Data!N21,IF(ISNUMBER(SEARCH("/",Raw_Data!N21)),IFERROR(DATE(VALUE(RIGHT(Raw_Data!N21,4)),VALUE(MID(Raw_Data!N21,4,2)),VALUE(LEFT(Raw_Data!N21,2))),"Invalid Date"),IFERROR(DATEVALUE(Raw_Data!N21),"Invalid Date"))))</f>
        <v>45989</v>
      </c>
      <c r="O21" s="22">
        <f>IF(Raw_Data!O21="","",IF(ISNUMBER(Raw_Data!O21),Raw_Data!O21,IF(ISNUMBER(SEARCH("/",Raw_Data!O21)),IFERROR(DATE(VALUE(RIGHT(Raw_Data!O21,4)),VALUE(MID(Raw_Data!O21,4,2)),VALUE(LEFT(Raw_Data!O21,2))),"Invalid Date"),IFERROR(DATEVALUE(Raw_Data!O21),"Invalid Date"))))</f>
        <v>46003</v>
      </c>
      <c r="P21" s="17" t="str">
        <f>IF(OR(TRIM(Raw_Data!P21)="",TRIM(Raw_Data!P21)="N/A",TRIM(Raw_Data!P21)="TBD",TRIM(Raw_Data!P21)="-"),"Not Assigned",PROPER(TRIM(Raw_Data!P21)))</f>
        <v>Shakti Traders</v>
      </c>
      <c r="Q21" s="24">
        <f t="shared" si="0"/>
        <v>7078801</v>
      </c>
      <c r="R21" s="17">
        <f t="shared" si="1"/>
        <v>14</v>
      </c>
      <c r="S21" s="17" t="str">
        <f>IF(COUNTIF($A$2:A21,A21)&gt;1,"Duplicate","Unique")</f>
        <v>Unique</v>
      </c>
      <c r="T21" s="17" t="str">
        <f t="shared" si="2"/>
        <v>No</v>
      </c>
      <c r="U21" s="17" t="str">
        <f t="shared" si="3"/>
        <v>No</v>
      </c>
      <c r="V21" s="17" t="str">
        <f t="shared" si="4"/>
        <v>Yes</v>
      </c>
      <c r="W21" s="17" t="str">
        <f t="shared" si="5"/>
        <v>Nov-2025</v>
      </c>
    </row>
    <row r="22" spans="1:23" x14ac:dyDescent="0.3">
      <c r="A22" s="17" t="str">
        <f>TRIM(Raw_Data!A22)</f>
        <v>REQ-2025-0021</v>
      </c>
      <c r="B22" s="22">
        <f>IF(Raw_Data!B22="","",IF(ISNUMBER(Raw_Data!B22),Raw_Data!B22,IF(ISNUMBER(SEARCH("/",Raw_Data!B22)),IFERROR(DATE(VALUE(RIGHT(Raw_Data!B22,4)),VALUE(MID(Raw_Data!B22,4,2)),VALUE(LEFT(Raw_Data!B22,2))),"Invalid Date"),IFERROR(DATEVALUE(Raw_Data!B22),"Invalid Date"))))</f>
        <v>46017</v>
      </c>
      <c r="C22" s="17" t="str">
        <f>IF(TRIM(Raw_Data!C22)="","",PROPER(TRIM(Raw_Data!C22)))</f>
        <v>Unit G - Transport Corps</v>
      </c>
      <c r="D22" s="17" t="str">
        <f>IF(TRIM(Raw_Data!D22)="","Not Specified",IFERROR(INDEX(Lookup_Tables!$H$6:$H$12,MATCH(TRIM(Raw_Data!D22),Lookup_Tables!$G$6:$G$12,0)),"Unknown - Review"))</f>
        <v>Central</v>
      </c>
      <c r="E22" s="17" t="str">
        <f>IF(TRIM(Raw_Data!E22)="","Not Specified",IFERROR(INDEX(Lookup_Tables!$B$6:$B$18,MATCH(TRIM(Raw_Data!E22),Lookup_Tables!$A$6:$A$18,0)),"Unknown - Review"))</f>
        <v>Fuel &amp; Lubricants</v>
      </c>
      <c r="F22" s="17" t="str">
        <f>IF(TRIM(Raw_Data!F22)="","",TRIM(Raw_Data!F22))</f>
        <v>Engine Grease (5kg)</v>
      </c>
      <c r="G22" s="17">
        <f>IF(Raw_Data!G22="","",IF(VALUE(Raw_Data!G22)&lt;=0,"Invalid",VALUE(Raw_Data!G22)))</f>
        <v>123</v>
      </c>
      <c r="H22" s="17">
        <f>IF(Raw_Data!H22="","",IF(VALUE(Raw_Data!H22)&lt;=0,"Invalid",VALUE(Raw_Data!H22)))</f>
        <v>90</v>
      </c>
      <c r="I22" s="23">
        <f>IFERROR(VALUE(SUBSTITUTE(SUBSTITUTE(Raw_Data!I22,"₹",""),",","")),"")</f>
        <v>24183.5</v>
      </c>
      <c r="J22" s="17" t="str">
        <f>IF(TRIM(Raw_Data!J22)="","Not Specified",PROPER(TRIM(Raw_Data!J22)))</f>
        <v>Low</v>
      </c>
      <c r="K22" s="17" t="str">
        <f>IF(TRIM(Raw_Data!K22)="","Not Specified",IFERROR(INDEX(Lookup_Tables!$E$6:$E$13,MATCH(TRIM(Raw_Data!K22),Lookup_Tables!$D$6:$D$13,0)),"Unknown - Review"))</f>
        <v>Dispatched</v>
      </c>
      <c r="L22" s="17" t="str">
        <f>IF(TRIM(Raw_Data!L22)="","",PROPER(TRIM(Raw_Data!L22)))</f>
        <v>Stores Officer</v>
      </c>
      <c r="M22" s="22" t="str">
        <f>IF(Raw_Data!M22="","",IF(ISNUMBER(Raw_Data!M22),Raw_Data!M22,IF(ISNUMBER(SEARCH("/",Raw_Data!M22)),IFERROR(DATE(VALUE(RIGHT(Raw_Data!M22,4)),VALUE(MID(Raw_Data!M22,4,2)),VALUE(LEFT(Raw_Data!M22,2))),"Invalid Date"),IFERROR(DATEVALUE(Raw_Data!M22),"Invalid Date"))))</f>
        <v/>
      </c>
      <c r="N22" s="22">
        <f>IF(Raw_Data!N22="","",IF(ISNUMBER(Raw_Data!N22),Raw_Data!N22,IF(ISNUMBER(SEARCH("/",Raw_Data!N22)),IFERROR(DATE(VALUE(RIGHT(Raw_Data!N22,4)),VALUE(MID(Raw_Data!N22,4,2)),VALUE(LEFT(Raw_Data!N22,2))),"Invalid Date"),IFERROR(DATEVALUE(Raw_Data!N22),"Invalid Date"))))</f>
        <v>46031</v>
      </c>
      <c r="O22" s="22" t="str">
        <f>IF(Raw_Data!O22="","",IF(ISNUMBER(Raw_Data!O22),Raw_Data!O22,IF(ISNUMBER(SEARCH("/",Raw_Data!O22)),IFERROR(DATE(VALUE(RIGHT(Raw_Data!O22,4)),VALUE(MID(Raw_Data!O22,4,2)),VALUE(LEFT(Raw_Data!O22,2))),"Invalid Date"),IFERROR(DATEVALUE(Raw_Data!O22),"Invalid Date"))))</f>
        <v/>
      </c>
      <c r="P22" s="17" t="str">
        <f>IF(OR(TRIM(Raw_Data!P22)="",TRIM(Raw_Data!P22)="N/A",TRIM(Raw_Data!P22)="TBD",TRIM(Raw_Data!P22)="-"),"Not Assigned",PROPER(TRIM(Raw_Data!P22)))</f>
        <v>Vikram Enterprises</v>
      </c>
      <c r="Q22" s="24">
        <f t="shared" si="0"/>
        <v>2176515</v>
      </c>
      <c r="R22" s="17" t="str">
        <f t="shared" si="1"/>
        <v/>
      </c>
      <c r="S22" s="17" t="str">
        <f>IF(COUNTIF($A$2:A22,A22)&gt;1,"Duplicate","Unique")</f>
        <v>Unique</v>
      </c>
      <c r="T22" s="17" t="str">
        <f t="shared" si="2"/>
        <v>No</v>
      </c>
      <c r="U22" s="17" t="str">
        <f t="shared" si="3"/>
        <v>No</v>
      </c>
      <c r="V22" s="17" t="str">
        <f t="shared" si="4"/>
        <v>Yes</v>
      </c>
      <c r="W22" s="17" t="str">
        <f t="shared" si="5"/>
        <v>Dec-2025</v>
      </c>
    </row>
    <row r="23" spans="1:23" x14ac:dyDescent="0.3">
      <c r="A23" s="17" t="str">
        <f>TRIM(Raw_Data!A23)</f>
        <v>REQ-2025-0022</v>
      </c>
      <c r="B23" s="22" t="str">
        <f>IF(Raw_Data!B23="","",IF(ISNUMBER(Raw_Data!B23),Raw_Data!B23,IF(ISNUMBER(SEARCH("/",Raw_Data!B23)),IFERROR(DATE(VALUE(RIGHT(Raw_Data!B23,4)),VALUE(MID(Raw_Data!B23,4,2)),VALUE(LEFT(Raw_Data!B23,2))),"Invalid Date"),IFERROR(DATEVALUE(Raw_Data!B23),"Invalid Date"))))</f>
        <v/>
      </c>
      <c r="C23" s="17" t="str">
        <f>IF(TRIM(Raw_Data!C23)="","",PROPER(TRIM(Raw_Data!C23)))</f>
        <v>Unit H - Air Defence</v>
      </c>
      <c r="D23" s="17" t="str">
        <f>IF(TRIM(Raw_Data!D23)="","Not Specified",IFERROR(INDEX(Lookup_Tables!$H$6:$H$12,MATCH(TRIM(Raw_Data!D23),Lookup_Tables!$G$6:$G$12,0)),"Unknown - Review"))</f>
        <v>Eastern</v>
      </c>
      <c r="E23" s="17" t="str">
        <f>IF(TRIM(Raw_Data!E23)="","Not Specified",IFERROR(INDEX(Lookup_Tables!$B$6:$B$18,MATCH(TRIM(Raw_Data!E23),Lookup_Tables!$A$6:$A$18,0)),"Unknown - Review"))</f>
        <v>Rations</v>
      </c>
      <c r="F23" s="17" t="str">
        <f>IF(TRIM(Raw_Data!F23)="","",TRIM(Raw_Data!F23))</f>
        <v>Cooking Oil (15L)</v>
      </c>
      <c r="G23" s="17">
        <f>IF(Raw_Data!G23="","",IF(VALUE(Raw_Data!G23)&lt;=0,"Invalid",VALUE(Raw_Data!G23)))</f>
        <v>99</v>
      </c>
      <c r="H23" s="17">
        <f>IF(Raw_Data!H23="","",IF(VALUE(Raw_Data!H23)&lt;=0,"Invalid",VALUE(Raw_Data!H23)))</f>
        <v>94</v>
      </c>
      <c r="I23" s="23">
        <f>IFERROR(VALUE(SUBSTITUTE(SUBSTITUTE(Raw_Data!I23,"₹",""),",","")),"")</f>
        <v>5266.81</v>
      </c>
      <c r="J23" s="17" t="str">
        <f>IF(TRIM(Raw_Data!J23)="","Not Specified",PROPER(TRIM(Raw_Data!J23)))</f>
        <v>Routine</v>
      </c>
      <c r="K23" s="17" t="str">
        <f>IF(TRIM(Raw_Data!K23)="","Not Specified",IFERROR(INDEX(Lookup_Tables!$E$6:$E$13,MATCH(TRIM(Raw_Data!K23),Lookup_Tables!$D$6:$D$13,0)),"Unknown - Review"))</f>
        <v>Dispatched</v>
      </c>
      <c r="L23" s="17" t="str">
        <f>IF(TRIM(Raw_Data!L23)="","",PROPER(TRIM(Raw_Data!L23)))</f>
        <v>Stores Officer</v>
      </c>
      <c r="M23" s="22">
        <f>IF(Raw_Data!M23="","",IF(ISNUMBER(Raw_Data!M23),Raw_Data!M23,IF(ISNUMBER(SEARCH("/",Raw_Data!M23)),IFERROR(DATE(VALUE(RIGHT(Raw_Data!M23,4)),VALUE(MID(Raw_Data!M23,4,2)),VALUE(LEFT(Raw_Data!M23,2))),"Invalid Date"),IFERROR(DATEVALUE(Raw_Data!M23),"Invalid Date"))))</f>
        <v>45805</v>
      </c>
      <c r="N23" s="22">
        <f>IF(Raw_Data!N23="","",IF(ISNUMBER(Raw_Data!N23),Raw_Data!N23,IF(ISNUMBER(SEARCH("/",Raw_Data!N23)),IFERROR(DATE(VALUE(RIGHT(Raw_Data!N23,4)),VALUE(MID(Raw_Data!N23,4,2)),VALUE(LEFT(Raw_Data!N23,2))),"Invalid Date"),IFERROR(DATEVALUE(Raw_Data!N23),"Invalid Date"))))</f>
        <v>45822</v>
      </c>
      <c r="O23" s="22" t="str">
        <f>IF(Raw_Data!O23="","",IF(ISNUMBER(Raw_Data!O23),Raw_Data!O23,IF(ISNUMBER(SEARCH("/",Raw_Data!O23)),IFERROR(DATE(VALUE(RIGHT(Raw_Data!O23,4)),VALUE(MID(Raw_Data!O23,4,2)),VALUE(LEFT(Raw_Data!O23,2))),"Invalid Date"),IFERROR(DATEVALUE(Raw_Data!O23),"Invalid Date"))))</f>
        <v/>
      </c>
      <c r="P23" s="17" t="str">
        <f>IF(OR(TRIM(Raw_Data!P23)="",TRIM(Raw_Data!P23)="N/A",TRIM(Raw_Data!P23)="TBD",TRIM(Raw_Data!P23)="-"),"Not Assigned",PROPER(TRIM(Raw_Data!P23)))</f>
        <v>Central Ordnance Suppliers</v>
      </c>
      <c r="Q23" s="24">
        <f t="shared" si="0"/>
        <v>495080.14</v>
      </c>
      <c r="R23" s="17" t="str">
        <f t="shared" si="1"/>
        <v/>
      </c>
      <c r="S23" s="17" t="str">
        <f>IF(COUNTIF($A$2:A23,A23)&gt;1,"Duplicate","Unique")</f>
        <v>Unique</v>
      </c>
      <c r="T23" s="17" t="str">
        <f t="shared" si="2"/>
        <v>No</v>
      </c>
      <c r="U23" s="17" t="str">
        <f t="shared" si="3"/>
        <v>No</v>
      </c>
      <c r="V23" s="17" t="str">
        <f t="shared" si="4"/>
        <v>Yes</v>
      </c>
      <c r="W23" s="17" t="str">
        <f t="shared" si="5"/>
        <v/>
      </c>
    </row>
    <row r="24" spans="1:23" x14ac:dyDescent="0.3">
      <c r="A24" s="17" t="str">
        <f>TRIM(Raw_Data!A24)</f>
        <v>REQ-2025-0023</v>
      </c>
      <c r="B24" s="22">
        <f>IF(Raw_Data!B24="","",IF(ISNUMBER(Raw_Data!B24),Raw_Data!B24,IF(ISNUMBER(SEARCH("/",Raw_Data!B24)),IFERROR(DATE(VALUE(RIGHT(Raw_Data!B24,4)),VALUE(MID(Raw_Data!B24,4,2)),VALUE(LEFT(Raw_Data!B24,2))),"Invalid Date"),IFERROR(DATEVALUE(Raw_Data!B24),"Invalid Date"))))</f>
        <v>45708</v>
      </c>
      <c r="C24" s="17" t="str">
        <f>IF(TRIM(Raw_Data!C24)="","",PROPER(TRIM(Raw_Data!C24)))</f>
        <v>Unit E - Medical Corps</v>
      </c>
      <c r="D24" s="17" t="str">
        <f>IF(TRIM(Raw_Data!D24)="","Not Specified",IFERROR(INDEX(Lookup_Tables!$H$6:$H$12,MATCH(TRIM(Raw_Data!D24),Lookup_Tables!$G$6:$G$12,0)),"Unknown - Review"))</f>
        <v>Central</v>
      </c>
      <c r="E24" s="17" t="str">
        <f>IF(TRIM(Raw_Data!E24)="","Not Specified",IFERROR(INDEX(Lookup_Tables!$B$6:$B$18,MATCH(TRIM(Raw_Data!E24),Lookup_Tables!$A$6:$A$18,0)),"Unknown - Review"))</f>
        <v>Rations</v>
      </c>
      <c r="F24" s="17" t="str">
        <f>IF(TRIM(Raw_Data!F24)="","",TRIM(Raw_Data!F24))</f>
        <v>Cooking Oil (15L)</v>
      </c>
      <c r="G24" s="17">
        <f>IF(Raw_Data!G24="","",IF(VALUE(Raw_Data!G24)&lt;=0,"Invalid",VALUE(Raw_Data!G24)))</f>
        <v>140</v>
      </c>
      <c r="H24" s="17">
        <f>IF(Raw_Data!H24="","",IF(VALUE(Raw_Data!H24)&lt;=0,"Invalid",VALUE(Raw_Data!H24)))</f>
        <v>105</v>
      </c>
      <c r="I24" s="23">
        <f>IFERROR(VALUE(SUBSTITUTE(SUBSTITUTE(Raw_Data!I24,"₹",""),",","")),"")</f>
        <v>3516.66</v>
      </c>
      <c r="J24" s="17" t="str">
        <f>IF(TRIM(Raw_Data!J24)="","Not Specified",PROPER(TRIM(Raw_Data!J24)))</f>
        <v>Medium</v>
      </c>
      <c r="K24" s="17" t="str">
        <f>IF(TRIM(Raw_Data!K24)="","Not Specified",IFERROR(INDEX(Lookup_Tables!$E$6:$E$13,MATCH(TRIM(Raw_Data!K24),Lookup_Tables!$D$6:$D$13,0)),"Unknown - Review"))</f>
        <v>Delivered</v>
      </c>
      <c r="L24" s="17" t="str">
        <f>IF(TRIM(Raw_Data!L24)="","",PROPER(TRIM(Raw_Data!L24)))</f>
        <v>Logistics Officer</v>
      </c>
      <c r="M24" s="22">
        <f>IF(Raw_Data!M24="","",IF(ISNUMBER(Raw_Data!M24),Raw_Data!M24,IF(ISNUMBER(SEARCH("/",Raw_Data!M24)),IFERROR(DATE(VALUE(RIGHT(Raw_Data!M24,4)),VALUE(MID(Raw_Data!M24,4,2)),VALUE(LEFT(Raw_Data!M24,2))),"Invalid Date"),IFERROR(DATEVALUE(Raw_Data!M24),"Invalid Date"))))</f>
        <v>45709</v>
      </c>
      <c r="N24" s="22">
        <f>IF(Raw_Data!N24="","",IF(ISNUMBER(Raw_Data!N24),Raw_Data!N24,IF(ISNUMBER(SEARCH("/",Raw_Data!N24)),IFERROR(DATE(VALUE(RIGHT(Raw_Data!N24,4)),VALUE(MID(Raw_Data!N24,4,2)),VALUE(LEFT(Raw_Data!N24,2))),"Invalid Date"),IFERROR(DATEVALUE(Raw_Data!N24),"Invalid Date"))))</f>
        <v>45727</v>
      </c>
      <c r="O24" s="22">
        <f>IF(Raw_Data!O24="","",IF(ISNUMBER(Raw_Data!O24),Raw_Data!O24,IF(ISNUMBER(SEARCH("/",Raw_Data!O24)),IFERROR(DATE(VALUE(RIGHT(Raw_Data!O24,4)),VALUE(MID(Raw_Data!O24,4,2)),VALUE(LEFT(Raw_Data!O24,2))),"Invalid Date"),IFERROR(DATEVALUE(Raw_Data!O24),"Invalid Date"))))</f>
        <v>45736</v>
      </c>
      <c r="P24" s="17" t="str">
        <f>IF(OR(TRIM(Raw_Data!P24)="",TRIM(Raw_Data!P24)="N/A",TRIM(Raw_Data!P24)="TBD",TRIM(Raw_Data!P24)="-"),"Not Assigned",PROPER(TRIM(Raw_Data!P24)))</f>
        <v>Not Assigned</v>
      </c>
      <c r="Q24" s="24">
        <f t="shared" si="0"/>
        <v>369249.3</v>
      </c>
      <c r="R24" s="17">
        <f t="shared" si="1"/>
        <v>9</v>
      </c>
      <c r="S24" s="17" t="str">
        <f>IF(COUNTIF($A$2:A24,A24)&gt;1,"Duplicate","Unique")</f>
        <v>Unique</v>
      </c>
      <c r="T24" s="17" t="str">
        <f t="shared" si="2"/>
        <v>No</v>
      </c>
      <c r="U24" s="17" t="str">
        <f t="shared" si="3"/>
        <v>No</v>
      </c>
      <c r="V24" s="17" t="str">
        <f t="shared" si="4"/>
        <v>Yes</v>
      </c>
      <c r="W24" s="17" t="str">
        <f t="shared" si="5"/>
        <v>Feb-2025</v>
      </c>
    </row>
    <row r="25" spans="1:23" x14ac:dyDescent="0.3">
      <c r="A25" s="17" t="str">
        <f>TRIM(Raw_Data!A25)</f>
        <v>REQ-2025-0024</v>
      </c>
      <c r="B25" s="22">
        <f>IF(Raw_Data!B25="","",IF(ISNUMBER(Raw_Data!B25),Raw_Data!B25,IF(ISNUMBER(SEARCH("/",Raw_Data!B25)),IFERROR(DATE(VALUE(RIGHT(Raw_Data!B25,4)),VALUE(MID(Raw_Data!B25,4,2)),VALUE(LEFT(Raw_Data!B25,2))),"Invalid Date"),IFERROR(DATEVALUE(Raw_Data!B25),"Invalid Date"))))</f>
        <v>45721</v>
      </c>
      <c r="C25" s="17" t="str">
        <f>IF(TRIM(Raw_Data!C25)="","",PROPER(TRIM(Raw_Data!C25)))</f>
        <v>Unit E - Medical Corps</v>
      </c>
      <c r="D25" s="17" t="str">
        <f>IF(TRIM(Raw_Data!D25)="","Not Specified",IFERROR(INDEX(Lookup_Tables!$H$6:$H$12,MATCH(TRIM(Raw_Data!D25),Lookup_Tables!$G$6:$G$12,0)),"Unknown - Review"))</f>
        <v>Central</v>
      </c>
      <c r="E25" s="17" t="str">
        <f>IF(TRIM(Raw_Data!E25)="","Not Specified",IFERROR(INDEX(Lookup_Tables!$B$6:$B$18,MATCH(TRIM(Raw_Data!E25),Lookup_Tables!$A$6:$A$18,0)),"Unknown - Review"))</f>
        <v>Communication Equipment</v>
      </c>
      <c r="F25" s="17" t="str">
        <f>IF(TRIM(Raw_Data!F25)="","",TRIM(Raw_Data!F25))</f>
        <v>Antenna Unit</v>
      </c>
      <c r="G25" s="17">
        <f>IF(Raw_Data!G25="","",IF(VALUE(Raw_Data!G25)&lt;=0,"Invalid",VALUE(Raw_Data!G25)))</f>
        <v>487</v>
      </c>
      <c r="H25" s="17">
        <f>IF(Raw_Data!H25="","",IF(VALUE(Raw_Data!H25)&lt;=0,"Invalid",VALUE(Raw_Data!H25)))</f>
        <v>404</v>
      </c>
      <c r="I25" s="23" t="str">
        <f>IFERROR(VALUE(SUBSTITUTE(SUBSTITUTE(Raw_Data!I25,"₹",""),",","")),"")</f>
        <v/>
      </c>
      <c r="J25" s="17" t="str">
        <f>IF(TRIM(Raw_Data!J25)="","Not Specified",PROPER(TRIM(Raw_Data!J25)))</f>
        <v>Low</v>
      </c>
      <c r="K25" s="17" t="str">
        <f>IF(TRIM(Raw_Data!K25)="","Not Specified",IFERROR(INDEX(Lookup_Tables!$E$6:$E$13,MATCH(TRIM(Raw_Data!K25),Lookup_Tables!$D$6:$D$13,0)),"Unknown - Review"))</f>
        <v>Dispatched</v>
      </c>
      <c r="L25" s="17" t="str">
        <f>IF(TRIM(Raw_Data!L25)="","",PROPER(TRIM(Raw_Data!L25)))</f>
        <v>Unit Commander</v>
      </c>
      <c r="M25" s="22">
        <f>IF(Raw_Data!M25="","",IF(ISNUMBER(Raw_Data!M25),Raw_Data!M25,IF(ISNUMBER(SEARCH("/",Raw_Data!M25)),IFERROR(DATE(VALUE(RIGHT(Raw_Data!M25,4)),VALUE(MID(Raw_Data!M25,4,2)),VALUE(LEFT(Raw_Data!M25,2))),"Invalid Date"),IFERROR(DATEVALUE(Raw_Data!M25),"Invalid Date"))))</f>
        <v>45728</v>
      </c>
      <c r="N25" s="22">
        <f>IF(Raw_Data!N25="","",IF(ISNUMBER(Raw_Data!N25),Raw_Data!N25,IF(ISNUMBER(SEARCH("/",Raw_Data!N25)),IFERROR(DATE(VALUE(RIGHT(Raw_Data!N25,4)),VALUE(MID(Raw_Data!N25,4,2)),VALUE(LEFT(Raw_Data!N25,2))),"Invalid Date"),IFERROR(DATEVALUE(Raw_Data!N25),"Invalid Date"))))</f>
        <v>45756</v>
      </c>
      <c r="O25" s="22" t="str">
        <f>IF(Raw_Data!O25="","",IF(ISNUMBER(Raw_Data!O25),Raw_Data!O25,IF(ISNUMBER(SEARCH("/",Raw_Data!O25)),IFERROR(DATE(VALUE(RIGHT(Raw_Data!O25,4)),VALUE(MID(Raw_Data!O25,4,2)),VALUE(LEFT(Raw_Data!O25,2))),"Invalid Date"),IFERROR(DATEVALUE(Raw_Data!O25),"Invalid Date"))))</f>
        <v/>
      </c>
      <c r="P25" s="17" t="str">
        <f>IF(OR(TRIM(Raw_Data!P25)="",TRIM(Raw_Data!P25)="N/A",TRIM(Raw_Data!P25)="TBD",TRIM(Raw_Data!P25)="-"),"Not Assigned",PROPER(TRIM(Raw_Data!P25)))</f>
        <v>Om Suppliers</v>
      </c>
      <c r="Q25" s="24" t="str">
        <f t="shared" si="0"/>
        <v/>
      </c>
      <c r="R25" s="17" t="str">
        <f t="shared" si="1"/>
        <v/>
      </c>
      <c r="S25" s="17" t="str">
        <f>IF(COUNTIF($A$2:A25,A25)&gt;1,"Duplicate","Unique")</f>
        <v>Unique</v>
      </c>
      <c r="T25" s="17" t="str">
        <f t="shared" si="2"/>
        <v>No</v>
      </c>
      <c r="U25" s="17" t="str">
        <f t="shared" si="3"/>
        <v>No</v>
      </c>
      <c r="V25" s="17" t="str">
        <f t="shared" si="4"/>
        <v>Yes</v>
      </c>
      <c r="W25" s="17" t="str">
        <f t="shared" si="5"/>
        <v>Mar-2025</v>
      </c>
    </row>
    <row r="26" spans="1:23" x14ac:dyDescent="0.3">
      <c r="A26" s="17" t="str">
        <f>TRIM(Raw_Data!A26)</f>
        <v>REQ-2025-0025</v>
      </c>
      <c r="B26" s="22" t="str">
        <f>IF(Raw_Data!B26="","",IF(ISNUMBER(Raw_Data!B26),Raw_Data!B26,IF(ISNUMBER(SEARCH("/",Raw_Data!B26)),IFERROR(DATE(VALUE(RIGHT(Raw_Data!B26,4)),VALUE(MID(Raw_Data!B26,4,2)),VALUE(LEFT(Raw_Data!B26,2))),"Invalid Date"),IFERROR(DATEVALUE(Raw_Data!B26),"Invalid Date"))))</f>
        <v/>
      </c>
      <c r="C26" s="17" t="str">
        <f>IF(TRIM(Raw_Data!C26)="","",PROPER(TRIM(Raw_Data!C26)))</f>
        <v>Unit H - Air Defence</v>
      </c>
      <c r="D26" s="17" t="str">
        <f>IF(TRIM(Raw_Data!D26)="","Not Specified",IFERROR(INDEX(Lookup_Tables!$H$6:$H$12,MATCH(TRIM(Raw_Data!D26),Lookup_Tables!$G$6:$G$12,0)),"Unknown - Review"))</f>
        <v>Western</v>
      </c>
      <c r="E26" s="17" t="str">
        <f>IF(TRIM(Raw_Data!E26)="","Not Specified",IFERROR(INDEX(Lookup_Tables!$B$6:$B$18,MATCH(TRIM(Raw_Data!E26),Lookup_Tables!$A$6:$A$18,0)),"Unknown - Review"))</f>
        <v>Fuel &amp; Lubricants</v>
      </c>
      <c r="F26" s="17" t="str">
        <f>IF(TRIM(Raw_Data!F26)="","",TRIM(Raw_Data!F26))</f>
        <v>Hydraulic Fluid (20L)</v>
      </c>
      <c r="G26" s="17">
        <f>IF(Raw_Data!G26="","",IF(VALUE(Raw_Data!G26)&lt;=0,"Invalid",VALUE(Raw_Data!G26)))</f>
        <v>173</v>
      </c>
      <c r="H26" s="17">
        <f>IF(Raw_Data!H26="","",IF(VALUE(Raw_Data!H26)&lt;=0,"Invalid",VALUE(Raw_Data!H26)))</f>
        <v>155</v>
      </c>
      <c r="I26" s="23" t="str">
        <f>IFERROR(VALUE(SUBSTITUTE(SUBSTITUTE(Raw_Data!I26,"₹",""),",","")),"")</f>
        <v/>
      </c>
      <c r="J26" s="17" t="str">
        <f>IF(TRIM(Raw_Data!J26)="","Not Specified",PROPER(TRIM(Raw_Data!J26)))</f>
        <v>High</v>
      </c>
      <c r="K26" s="17" t="str">
        <f>IF(TRIM(Raw_Data!K26)="","Not Specified",IFERROR(INDEX(Lookup_Tables!$E$6:$E$13,MATCH(TRIM(Raw_Data!K26),Lookup_Tables!$D$6:$D$13,0)),"Unknown - Review"))</f>
        <v>Approved</v>
      </c>
      <c r="L26" s="17" t="str">
        <f>IF(TRIM(Raw_Data!L26)="","",PROPER(TRIM(Raw_Data!L26)))</f>
        <v>Logistics Officer</v>
      </c>
      <c r="M26" s="22">
        <f>IF(Raw_Data!M26="","",IF(ISNUMBER(Raw_Data!M26),Raw_Data!M26,IF(ISNUMBER(SEARCH("/",Raw_Data!M26)),IFERROR(DATE(VALUE(RIGHT(Raw_Data!M26,4)),VALUE(MID(Raw_Data!M26,4,2)),VALUE(LEFT(Raw_Data!M26,2))),"Invalid Date"),IFERROR(DATEVALUE(Raw_Data!M26),"Invalid Date"))))</f>
        <v>45837</v>
      </c>
      <c r="N26" s="22" t="str">
        <f>IF(Raw_Data!N26="","",IF(ISNUMBER(Raw_Data!N26),Raw_Data!N26,IF(ISNUMBER(SEARCH("/",Raw_Data!N26)),IFERROR(DATE(VALUE(RIGHT(Raw_Data!N26,4)),VALUE(MID(Raw_Data!N26,4,2)),VALUE(LEFT(Raw_Data!N26,2))),"Invalid Date"),IFERROR(DATEVALUE(Raw_Data!N26),"Invalid Date"))))</f>
        <v/>
      </c>
      <c r="O26" s="22" t="str">
        <f>IF(Raw_Data!O26="","",IF(ISNUMBER(Raw_Data!O26),Raw_Data!O26,IF(ISNUMBER(SEARCH("/",Raw_Data!O26)),IFERROR(DATE(VALUE(RIGHT(Raw_Data!O26,4)),VALUE(MID(Raw_Data!O26,4,2)),VALUE(LEFT(Raw_Data!O26,2))),"Invalid Date"),IFERROR(DATEVALUE(Raw_Data!O26),"Invalid Date"))))</f>
        <v/>
      </c>
      <c r="P26" s="17" t="str">
        <f>IF(OR(TRIM(Raw_Data!P26)="",TRIM(Raw_Data!P26)="N/A",TRIM(Raw_Data!P26)="TBD",TRIM(Raw_Data!P26)="-"),"Not Assigned",PROPER(TRIM(Raw_Data!P26)))</f>
        <v>Central Ordnance Suppliers</v>
      </c>
      <c r="Q26" s="24" t="str">
        <f t="shared" si="0"/>
        <v/>
      </c>
      <c r="R26" s="17" t="str">
        <f t="shared" si="1"/>
        <v/>
      </c>
      <c r="S26" s="17" t="str">
        <f>IF(COUNTIF($A$2:A26,A26)&gt;1,"Duplicate","Unique")</f>
        <v>Unique</v>
      </c>
      <c r="T26" s="17" t="str">
        <f t="shared" si="2"/>
        <v>No</v>
      </c>
      <c r="U26" s="17" t="str">
        <f t="shared" si="3"/>
        <v>No</v>
      </c>
      <c r="V26" s="17" t="str">
        <f t="shared" si="4"/>
        <v>Yes</v>
      </c>
      <c r="W26" s="17" t="str">
        <f t="shared" si="5"/>
        <v/>
      </c>
    </row>
    <row r="27" spans="1:23" x14ac:dyDescent="0.3">
      <c r="A27" s="17" t="str">
        <f>TRIM(Raw_Data!A27)</f>
        <v>REQ-2025-0026</v>
      </c>
      <c r="B27" s="22">
        <f>IF(Raw_Data!B27="","",IF(ISNUMBER(Raw_Data!B27),Raw_Data!B27,IF(ISNUMBER(SEARCH("/",Raw_Data!B27)),IFERROR(DATE(VALUE(RIGHT(Raw_Data!B27,4)),VALUE(MID(Raw_Data!B27,4,2)),VALUE(LEFT(Raw_Data!B27,2))),"Invalid Date"),IFERROR(DATEVALUE(Raw_Data!B27),"Invalid Date"))))</f>
        <v>45672</v>
      </c>
      <c r="C27" s="17" t="str">
        <f>IF(TRIM(Raw_Data!C27)="","",PROPER(TRIM(Raw_Data!C27)))</f>
        <v>Unit E - Medical Corps</v>
      </c>
      <c r="D27" s="17" t="str">
        <f>IF(TRIM(Raw_Data!D27)="","Not Specified",IFERROR(INDEX(Lookup_Tables!$H$6:$H$12,MATCH(TRIM(Raw_Data!D27),Lookup_Tables!$G$6:$G$12,0)),"Unknown - Review"))</f>
        <v>Central</v>
      </c>
      <c r="E27" s="17" t="str">
        <f>IF(TRIM(Raw_Data!E27)="","Not Specified",IFERROR(INDEX(Lookup_Tables!$B$6:$B$18,MATCH(TRIM(Raw_Data!E27),Lookup_Tables!$A$6:$A$18,0)),"Unknown - Review"))</f>
        <v>Office &amp; IT Equipment</v>
      </c>
      <c r="F27" s="17" t="str">
        <f>IF(TRIM(Raw_Data!F27)="","",TRIM(Raw_Data!F27))</f>
        <v>Desktop Computer</v>
      </c>
      <c r="G27" s="17">
        <f>IF(Raw_Data!G27="","",IF(VALUE(Raw_Data!G27)&lt;=0,"Invalid",VALUE(Raw_Data!G27)))</f>
        <v>164</v>
      </c>
      <c r="H27" s="17">
        <f>IF(Raw_Data!H27="","",IF(VALUE(Raw_Data!H27)&lt;=0,"Invalid",VALUE(Raw_Data!H27)))</f>
        <v>119</v>
      </c>
      <c r="I27" s="23">
        <f>IFERROR(VALUE(SUBSTITUTE(SUBSTITUTE(Raw_Data!I27,"₹",""),",","")),"")</f>
        <v>44653</v>
      </c>
      <c r="J27" s="17" t="str">
        <f>IF(TRIM(Raw_Data!J27)="","Not Specified",PROPER(TRIM(Raw_Data!J27)))</f>
        <v>Medium</v>
      </c>
      <c r="K27" s="17" t="str">
        <f>IF(TRIM(Raw_Data!K27)="","Not Specified",IFERROR(INDEX(Lookup_Tables!$E$6:$E$13,MATCH(TRIM(Raw_Data!K27),Lookup_Tables!$D$6:$D$13,0)),"Unknown - Review"))</f>
        <v>Delivered</v>
      </c>
      <c r="L27" s="17" t="str">
        <f>IF(TRIM(Raw_Data!L27)="","",PROPER(TRIM(Raw_Data!L27)))</f>
        <v>Logistics Officer</v>
      </c>
      <c r="M27" s="22">
        <f>IF(Raw_Data!M27="","",IF(ISNUMBER(Raw_Data!M27),Raw_Data!M27,IF(ISNUMBER(SEARCH("/",Raw_Data!M27)),IFERROR(DATE(VALUE(RIGHT(Raw_Data!M27,4)),VALUE(MID(Raw_Data!M27,4,2)),VALUE(LEFT(Raw_Data!M27,2))),"Invalid Date"),IFERROR(DATEVALUE(Raw_Data!M27),"Invalid Date"))))</f>
        <v>45674</v>
      </c>
      <c r="N27" s="22">
        <f>IF(Raw_Data!N27="","",IF(ISNUMBER(Raw_Data!N27),Raw_Data!N27,IF(ISNUMBER(SEARCH("/",Raw_Data!N27)),IFERROR(DATE(VALUE(RIGHT(Raw_Data!N27,4)),VALUE(MID(Raw_Data!N27,4,2)),VALUE(LEFT(Raw_Data!N27,2))),"Invalid Date"),IFERROR(DATEVALUE(Raw_Data!N27),"Invalid Date"))))</f>
        <v>45693</v>
      </c>
      <c r="O27" s="22">
        <f>IF(Raw_Data!O27="","",IF(ISNUMBER(Raw_Data!O27),Raw_Data!O27,IF(ISNUMBER(SEARCH("/",Raw_Data!O27)),IFERROR(DATE(VALUE(RIGHT(Raw_Data!O27,4)),VALUE(MID(Raw_Data!O27,4,2)),VALUE(LEFT(Raw_Data!O27,2))),"Invalid Date"),IFERROR(DATEVALUE(Raw_Data!O27),"Invalid Date"))))</f>
        <v>45691</v>
      </c>
      <c r="P27" s="17" t="str">
        <f>IF(OR(TRIM(Raw_Data!P27)="",TRIM(Raw_Data!P27)="N/A",TRIM(Raw_Data!P27)="TBD",TRIM(Raw_Data!P27)="-"),"Not Assigned",PROPER(TRIM(Raw_Data!P27)))</f>
        <v>National Defence Stores</v>
      </c>
      <c r="Q27" s="24">
        <f t="shared" si="0"/>
        <v>5313707</v>
      </c>
      <c r="R27" s="17">
        <f t="shared" si="1"/>
        <v>-2</v>
      </c>
      <c r="S27" s="17" t="str">
        <f>IF(COUNTIF($A$2:A27,A27)&gt;1,"Duplicate","Unique")</f>
        <v>Unique</v>
      </c>
      <c r="T27" s="17" t="str">
        <f t="shared" si="2"/>
        <v>No</v>
      </c>
      <c r="U27" s="17" t="str">
        <f t="shared" si="3"/>
        <v>No</v>
      </c>
      <c r="V27" s="17" t="str">
        <f t="shared" si="4"/>
        <v>Yes</v>
      </c>
      <c r="W27" s="17" t="str">
        <f t="shared" si="5"/>
        <v>Jan-2025</v>
      </c>
    </row>
    <row r="28" spans="1:23" x14ac:dyDescent="0.3">
      <c r="A28" s="17" t="str">
        <f>TRIM(Raw_Data!A28)</f>
        <v>REQ-2025-0027</v>
      </c>
      <c r="B28" s="22">
        <f>IF(Raw_Data!B28="","",IF(ISNUMBER(Raw_Data!B28),Raw_Data!B28,IF(ISNUMBER(SEARCH("/",Raw_Data!B28)),IFERROR(DATE(VALUE(RIGHT(Raw_Data!B28,4)),VALUE(MID(Raw_Data!B28,4,2)),VALUE(LEFT(Raw_Data!B28,2))),"Invalid Date"),IFERROR(DATEVALUE(Raw_Data!B28),"Invalid Date"))))</f>
        <v>45954</v>
      </c>
      <c r="C28" s="17" t="str">
        <f>IF(TRIM(Raw_Data!C28)="","",PROPER(TRIM(Raw_Data!C28)))</f>
        <v>Unit A - Infantry</v>
      </c>
      <c r="D28" s="17" t="str">
        <f>IF(TRIM(Raw_Data!D28)="","Not Specified",IFERROR(INDEX(Lookup_Tables!$H$6:$H$12,MATCH(TRIM(Raw_Data!D28),Lookup_Tables!$G$6:$G$12,0)),"Unknown - Review"))</f>
        <v>Northern</v>
      </c>
      <c r="E28" s="17" t="str">
        <f>IF(TRIM(Raw_Data!E28)="","Not Specified",IFERROR(INDEX(Lookup_Tables!$B$6:$B$18,MATCH(TRIM(Raw_Data!E28),Lookup_Tables!$A$6:$A$18,0)),"Unknown - Review"))</f>
        <v>Communication Equipment</v>
      </c>
      <c r="F28" s="17" t="str">
        <f>IF(TRIM(Raw_Data!F28)="","",TRIM(Raw_Data!F28))</f>
        <v>Headset Set</v>
      </c>
      <c r="G28" s="17">
        <f>IF(Raw_Data!G28="","",IF(VALUE(Raw_Data!G28)&lt;=0,"Invalid",VALUE(Raw_Data!G28)))</f>
        <v>233</v>
      </c>
      <c r="H28" s="17">
        <f>IF(Raw_Data!H28="","",IF(VALUE(Raw_Data!H28)&lt;=0,"Invalid",VALUE(Raw_Data!H28)))</f>
        <v>201</v>
      </c>
      <c r="I28" s="23">
        <f>IFERROR(VALUE(SUBSTITUTE(SUBSTITUTE(Raw_Data!I28,"₹",""),",","")),"")</f>
        <v>24522.84</v>
      </c>
      <c r="J28" s="17" t="str">
        <f>IF(TRIM(Raw_Data!J28)="","Not Specified",PROPER(TRIM(Raw_Data!J28)))</f>
        <v>Routine</v>
      </c>
      <c r="K28" s="17" t="str">
        <f>IF(TRIM(Raw_Data!K28)="","Not Specified",IFERROR(INDEX(Lookup_Tables!$E$6:$E$13,MATCH(TRIM(Raw_Data!K28),Lookup_Tables!$D$6:$D$13,0)),"Unknown - Review"))</f>
        <v>Delivered</v>
      </c>
      <c r="L28" s="17" t="str">
        <f>IF(TRIM(Raw_Data!L28)="","",PROPER(TRIM(Raw_Data!L28)))</f>
        <v>Logistics Officer</v>
      </c>
      <c r="M28" s="22">
        <f>IF(Raw_Data!M28="","",IF(ISNUMBER(Raw_Data!M28),Raw_Data!M28,IF(ISNUMBER(SEARCH("/",Raw_Data!M28)),IFERROR(DATE(VALUE(RIGHT(Raw_Data!M28,4)),VALUE(MID(Raw_Data!M28,4,2)),VALUE(LEFT(Raw_Data!M28,2))),"Invalid Date"),IFERROR(DATEVALUE(Raw_Data!M28),"Invalid Date"))))</f>
        <v>45962</v>
      </c>
      <c r="N28" s="22">
        <f>IF(Raw_Data!N28="","",IF(ISNUMBER(Raw_Data!N28),Raw_Data!N28,IF(ISNUMBER(SEARCH("/",Raw_Data!N28)),IFERROR(DATE(VALUE(RIGHT(Raw_Data!N28,4)),VALUE(MID(Raw_Data!N28,4,2)),VALUE(LEFT(Raw_Data!N28,2))),"Invalid Date"),IFERROR(DATEVALUE(Raw_Data!N28),"Invalid Date"))))</f>
        <v>45977</v>
      </c>
      <c r="O28" s="22">
        <f>IF(Raw_Data!O28="","",IF(ISNUMBER(Raw_Data!O28),Raw_Data!O28,IF(ISNUMBER(SEARCH("/",Raw_Data!O28)),IFERROR(DATE(VALUE(RIGHT(Raw_Data!O28,4)),VALUE(MID(Raw_Data!O28,4,2)),VALUE(LEFT(Raw_Data!O28,2))),"Invalid Date"),IFERROR(DATEVALUE(Raw_Data!O28),"Invalid Date"))))</f>
        <v>45978</v>
      </c>
      <c r="P28" s="17" t="str">
        <f>IF(OR(TRIM(Raw_Data!P28)="",TRIM(Raw_Data!P28)="N/A",TRIM(Raw_Data!P28)="TBD",TRIM(Raw_Data!P28)="-"),"Not Assigned",PROPER(TRIM(Raw_Data!P28)))</f>
        <v>Vikram Enterprises</v>
      </c>
      <c r="Q28" s="24">
        <f t="shared" si="0"/>
        <v>4929090.84</v>
      </c>
      <c r="R28" s="17">
        <f t="shared" si="1"/>
        <v>1</v>
      </c>
      <c r="S28" s="17" t="str">
        <f>IF(COUNTIF($A$2:A28,A28)&gt;1,"Duplicate","Unique")</f>
        <v>Unique</v>
      </c>
      <c r="T28" s="17" t="str">
        <f t="shared" si="2"/>
        <v>No</v>
      </c>
      <c r="U28" s="17" t="str">
        <f t="shared" si="3"/>
        <v>No</v>
      </c>
      <c r="V28" s="17" t="str">
        <f t="shared" si="4"/>
        <v>Yes</v>
      </c>
      <c r="W28" s="17" t="str">
        <f t="shared" si="5"/>
        <v>Oct-2025</v>
      </c>
    </row>
    <row r="29" spans="1:23" x14ac:dyDescent="0.3">
      <c r="A29" s="17" t="str">
        <f>TRIM(Raw_Data!A29)</f>
        <v>REQ-2025-0028</v>
      </c>
      <c r="B29" s="22">
        <f>IF(Raw_Data!B29="","",IF(ISNUMBER(Raw_Data!B29),Raw_Data!B29,IF(ISNUMBER(SEARCH("/",Raw_Data!B29)),IFERROR(DATE(VALUE(RIGHT(Raw_Data!B29,4)),VALUE(MID(Raw_Data!B29,4,2)),VALUE(LEFT(Raw_Data!B29,2))),"Invalid Date"),IFERROR(DATEVALUE(Raw_Data!B29),"Invalid Date"))))</f>
        <v>45993</v>
      </c>
      <c r="C29" s="17" t="str">
        <f>IF(TRIM(Raw_Data!C29)="","",PROPER(TRIM(Raw_Data!C29)))</f>
        <v>Unit H - Air Defence</v>
      </c>
      <c r="D29" s="17" t="str">
        <f>IF(TRIM(Raw_Data!D29)="","Not Specified",IFERROR(INDEX(Lookup_Tables!$H$6:$H$12,MATCH(TRIM(Raw_Data!D29),Lookup_Tables!$G$6:$G$12,0)),"Unknown - Review"))</f>
        <v>Eastern</v>
      </c>
      <c r="E29" s="17" t="str">
        <f>IF(TRIM(Raw_Data!E29)="","Not Specified",IFERROR(INDEX(Lookup_Tables!$B$6:$B$18,MATCH(TRIM(Raw_Data!E29),Lookup_Tables!$A$6:$A$18,0)),"Unknown - Review"))</f>
        <v>Uniforms &amp; Clothing</v>
      </c>
      <c r="F29" s="17" t="str">
        <f>IF(TRIM(Raw_Data!F29)="","",TRIM(Raw_Data!F29))</f>
        <v>Rain Poncho</v>
      </c>
      <c r="G29" s="17">
        <f>IF(Raw_Data!G29="","",IF(VALUE(Raw_Data!G29)&lt;=0,"Invalid",VALUE(Raw_Data!G29)))</f>
        <v>405</v>
      </c>
      <c r="H29" s="17">
        <f>IF(Raw_Data!H29="","",IF(VALUE(Raw_Data!H29)&lt;=0,"Invalid",VALUE(Raw_Data!H29)))</f>
        <v>367</v>
      </c>
      <c r="I29" s="23">
        <f>IFERROR(VALUE(SUBSTITUTE(SUBSTITUTE(Raw_Data!I29,"₹",""),",","")),"")</f>
        <v>29295</v>
      </c>
      <c r="J29" s="17" t="str">
        <f>IF(TRIM(Raw_Data!J29)="","Not Specified",PROPER(TRIM(Raw_Data!J29)))</f>
        <v>High</v>
      </c>
      <c r="K29" s="17" t="str">
        <f>IF(TRIM(Raw_Data!K29)="","Not Specified",IFERROR(INDEX(Lookup_Tables!$E$6:$E$13,MATCH(TRIM(Raw_Data!K29),Lookup_Tables!$D$6:$D$13,0)),"Unknown - Review"))</f>
        <v>Delivered</v>
      </c>
      <c r="L29" s="17" t="str">
        <f>IF(TRIM(Raw_Data!L29)="","",PROPER(TRIM(Raw_Data!L29)))</f>
        <v>Unit Commander</v>
      </c>
      <c r="M29" s="22">
        <f>IF(Raw_Data!M29="","",IF(ISNUMBER(Raw_Data!M29),Raw_Data!M29,IF(ISNUMBER(SEARCH("/",Raw_Data!M29)),IFERROR(DATE(VALUE(RIGHT(Raw_Data!M29,4)),VALUE(MID(Raw_Data!M29,4,2)),VALUE(LEFT(Raw_Data!M29,2))),"Invalid Date"),IFERROR(DATEVALUE(Raw_Data!M29),"Invalid Date"))))</f>
        <v>45999</v>
      </c>
      <c r="N29" s="22" t="str">
        <f>IF(Raw_Data!N29="","",IF(ISNUMBER(Raw_Data!N29),Raw_Data!N29,IF(ISNUMBER(SEARCH("/",Raw_Data!N29)),IFERROR(DATE(VALUE(RIGHT(Raw_Data!N29,4)),VALUE(MID(Raw_Data!N29,4,2)),VALUE(LEFT(Raw_Data!N29,2))),"Invalid Date"),IFERROR(DATEVALUE(Raw_Data!N29),"Invalid Date"))))</f>
        <v/>
      </c>
      <c r="O29" s="22">
        <f>IF(Raw_Data!O29="","",IF(ISNUMBER(Raw_Data!O29),Raw_Data!O29,IF(ISNUMBER(SEARCH("/",Raw_Data!O29)),IFERROR(DATE(VALUE(RIGHT(Raw_Data!O29,4)),VALUE(MID(Raw_Data!O29,4,2)),VALUE(LEFT(Raw_Data!O29,2))),"Invalid Date"),IFERROR(DATEVALUE(Raw_Data!O29),"Invalid Date"))))</f>
        <v>46037</v>
      </c>
      <c r="P29" s="17" t="str">
        <f>IF(OR(TRIM(Raw_Data!P29)="",TRIM(Raw_Data!P29)="N/A",TRIM(Raw_Data!P29)="TBD",TRIM(Raw_Data!P29)="-"),"Not Assigned",PROPER(TRIM(Raw_Data!P29)))</f>
        <v>Rapid Vendors Ltd</v>
      </c>
      <c r="Q29" s="24">
        <f t="shared" si="0"/>
        <v>10751265</v>
      </c>
      <c r="R29" s="17" t="str">
        <f t="shared" si="1"/>
        <v/>
      </c>
      <c r="S29" s="17" t="str">
        <f>IF(COUNTIF($A$2:A29,A29)&gt;1,"Duplicate","Unique")</f>
        <v>Unique</v>
      </c>
      <c r="T29" s="17" t="str">
        <f t="shared" si="2"/>
        <v>No</v>
      </c>
      <c r="U29" s="17" t="str">
        <f t="shared" si="3"/>
        <v>No</v>
      </c>
      <c r="V29" s="17" t="str">
        <f t="shared" si="4"/>
        <v>Yes</v>
      </c>
      <c r="W29" s="17" t="str">
        <f t="shared" si="5"/>
        <v>Dec-2025</v>
      </c>
    </row>
    <row r="30" spans="1:23" x14ac:dyDescent="0.3">
      <c r="A30" s="17" t="str">
        <f>TRIM(Raw_Data!A30)</f>
        <v>REQ-2025-0029</v>
      </c>
      <c r="B30" s="22">
        <f>IF(Raw_Data!B30="","",IF(ISNUMBER(Raw_Data!B30),Raw_Data!B30,IF(ISNUMBER(SEARCH("/",Raw_Data!B30)),IFERROR(DATE(VALUE(RIGHT(Raw_Data!B30,4)),VALUE(MID(Raw_Data!B30,4,2)),VALUE(LEFT(Raw_Data!B30,2))),"Invalid Date"),IFERROR(DATEVALUE(Raw_Data!B30),"Invalid Date"))))</f>
        <v>45849</v>
      </c>
      <c r="C30" s="17" t="str">
        <f>IF(TRIM(Raw_Data!C30)="","",PROPER(TRIM(Raw_Data!C30)))</f>
        <v>Unit F - Ordnance Depot</v>
      </c>
      <c r="D30" s="17" t="str">
        <f>IF(TRIM(Raw_Data!D30)="","Not Specified",IFERROR(INDEX(Lookup_Tables!$H$6:$H$12,MATCH(TRIM(Raw_Data!D30),Lookup_Tables!$G$6:$G$12,0)),"Unknown - Review"))</f>
        <v>Northern</v>
      </c>
      <c r="E30" s="17" t="str">
        <f>IF(TRIM(Raw_Data!E30)="","Not Specified",IFERROR(INDEX(Lookup_Tables!$B$6:$B$18,MATCH(TRIM(Raw_Data!E30),Lookup_Tables!$A$6:$A$18,0)),"Unknown - Review"))</f>
        <v>Communication Equipment</v>
      </c>
      <c r="F30" s="17" t="str">
        <f>IF(TRIM(Raw_Data!F30)="","",TRIM(Raw_Data!F30))</f>
        <v>Battery Pack (Radio)</v>
      </c>
      <c r="G30" s="17">
        <f>IF(Raw_Data!G30="","",IF(VALUE(Raw_Data!G30)&lt;=0,"Invalid",VALUE(Raw_Data!G30)))</f>
        <v>294</v>
      </c>
      <c r="H30" s="17" t="str">
        <f>IF(Raw_Data!H30="","",IF(VALUE(Raw_Data!H30)&lt;=0,"Invalid",VALUE(Raw_Data!H30)))</f>
        <v/>
      </c>
      <c r="I30" s="23">
        <f>IFERROR(VALUE(SUBSTITUTE(SUBSTITUTE(Raw_Data!I30,"₹",""),",","")),"")</f>
        <v>8002</v>
      </c>
      <c r="J30" s="17" t="str">
        <f>IF(TRIM(Raw_Data!J30)="","Not Specified",PROPER(TRIM(Raw_Data!J30)))</f>
        <v>Not Specified</v>
      </c>
      <c r="K30" s="17" t="str">
        <f>IF(TRIM(Raw_Data!K30)="","Not Specified",IFERROR(INDEX(Lookup_Tables!$E$6:$E$13,MATCH(TRIM(Raw_Data!K30),Lookup_Tables!$D$6:$D$13,0)),"Unknown - Review"))</f>
        <v>Rejected</v>
      </c>
      <c r="L30" s="17" t="str">
        <f>IF(TRIM(Raw_Data!L30)="","",PROPER(TRIM(Raw_Data!L30)))</f>
        <v>Unit Commander</v>
      </c>
      <c r="M30" s="22" t="str">
        <f>IF(Raw_Data!M30="","",IF(ISNUMBER(Raw_Data!M30),Raw_Data!M30,IF(ISNUMBER(SEARCH("/",Raw_Data!M30)),IFERROR(DATE(VALUE(RIGHT(Raw_Data!M30,4)),VALUE(MID(Raw_Data!M30,4,2)),VALUE(LEFT(Raw_Data!M30,2))),"Invalid Date"),IFERROR(DATEVALUE(Raw_Data!M30),"Invalid Date"))))</f>
        <v/>
      </c>
      <c r="N30" s="22" t="str">
        <f>IF(Raw_Data!N30="","",IF(ISNUMBER(Raw_Data!N30),Raw_Data!N30,IF(ISNUMBER(SEARCH("/",Raw_Data!N30)),IFERROR(DATE(VALUE(RIGHT(Raw_Data!N30,4)),VALUE(MID(Raw_Data!N30,4,2)),VALUE(LEFT(Raw_Data!N30,2))),"Invalid Date"),IFERROR(DATEVALUE(Raw_Data!N30),"Invalid Date"))))</f>
        <v/>
      </c>
      <c r="O30" s="22" t="str">
        <f>IF(Raw_Data!O30="","",IF(ISNUMBER(Raw_Data!O30),Raw_Data!O30,IF(ISNUMBER(SEARCH("/",Raw_Data!O30)),IFERROR(DATE(VALUE(RIGHT(Raw_Data!O30,4)),VALUE(MID(Raw_Data!O30,4,2)),VALUE(LEFT(Raw_Data!O30,2))),"Invalid Date"),IFERROR(DATEVALUE(Raw_Data!O30),"Invalid Date"))))</f>
        <v/>
      </c>
      <c r="P30" s="17" t="str">
        <f>IF(OR(TRIM(Raw_Data!P30)="",TRIM(Raw_Data!P30)="N/A",TRIM(Raw_Data!P30)="TBD",TRIM(Raw_Data!P30)="-"),"Not Assigned",PROPER(TRIM(Raw_Data!P30)))</f>
        <v>Rapid Vendors Ltd</v>
      </c>
      <c r="Q30" s="24" t="str">
        <f t="shared" si="0"/>
        <v/>
      </c>
      <c r="R30" s="17" t="str">
        <f t="shared" si="1"/>
        <v/>
      </c>
      <c r="S30" s="17" t="str">
        <f>IF(COUNTIF($A$2:A30,A30)&gt;1,"Duplicate","Unique")</f>
        <v>Unique</v>
      </c>
      <c r="T30" s="17" t="str">
        <f t="shared" si="2"/>
        <v>No</v>
      </c>
      <c r="U30" s="17" t="str">
        <f t="shared" si="3"/>
        <v>No</v>
      </c>
      <c r="V30" s="17" t="str">
        <f t="shared" si="4"/>
        <v>Yes</v>
      </c>
      <c r="W30" s="17" t="str">
        <f t="shared" si="5"/>
        <v>Jul-2025</v>
      </c>
    </row>
    <row r="31" spans="1:23" x14ac:dyDescent="0.3">
      <c r="A31" s="17" t="str">
        <f>TRIM(Raw_Data!A31)</f>
        <v>REQ-2025-0030</v>
      </c>
      <c r="B31" s="22">
        <f>IF(Raw_Data!B31="","",IF(ISNUMBER(Raw_Data!B31),Raw_Data!B31,IF(ISNUMBER(SEARCH("/",Raw_Data!B31)),IFERROR(DATE(VALUE(RIGHT(Raw_Data!B31,4)),VALUE(MID(Raw_Data!B31,4,2)),VALUE(LEFT(Raw_Data!B31,2))),"Invalid Date"),IFERROR(DATEVALUE(Raw_Data!B31),"Invalid Date"))))</f>
        <v>45891</v>
      </c>
      <c r="C31" s="17" t="str">
        <f>IF(TRIM(Raw_Data!C31)="","",PROPER(TRIM(Raw_Data!C31)))</f>
        <v>Unit E - Medical Corps</v>
      </c>
      <c r="D31" s="17" t="str">
        <f>IF(TRIM(Raw_Data!D31)="","Not Specified",IFERROR(INDEX(Lookup_Tables!$H$6:$H$12,MATCH(TRIM(Raw_Data!D31),Lookup_Tables!$G$6:$G$12,0)),"Unknown - Review"))</f>
        <v>Central</v>
      </c>
      <c r="E31" s="17" t="str">
        <f>IF(TRIM(Raw_Data!E31)="","Not Specified",IFERROR(INDEX(Lookup_Tables!$B$6:$B$18,MATCH(TRIM(Raw_Data!E31),Lookup_Tables!$A$6:$A$18,0)),"Unknown - Review"))</f>
        <v>Construction Material</v>
      </c>
      <c r="F31" s="17" t="str">
        <f>IF(TRIM(Raw_Data!F31)="","",TRIM(Raw_Data!F31))</f>
        <v>Sandbag (Pack of 50)</v>
      </c>
      <c r="G31" s="17">
        <f>IF(Raw_Data!G31="","",IF(VALUE(Raw_Data!G31)&lt;=0,"Invalid",VALUE(Raw_Data!G31)))</f>
        <v>441</v>
      </c>
      <c r="H31" s="17">
        <f>IF(Raw_Data!H31="","",IF(VALUE(Raw_Data!H31)&lt;=0,"Invalid",VALUE(Raw_Data!H31)))</f>
        <v>384</v>
      </c>
      <c r="I31" s="23">
        <f>IFERROR(VALUE(SUBSTITUTE(SUBSTITUTE(Raw_Data!I31,"₹",""),",","")),"")</f>
        <v>25930.32</v>
      </c>
      <c r="J31" s="17" t="str">
        <f>IF(TRIM(Raw_Data!J31)="","Not Specified",PROPER(TRIM(Raw_Data!J31)))</f>
        <v>Medium</v>
      </c>
      <c r="K31" s="17" t="str">
        <f>IF(TRIM(Raw_Data!K31)="","Not Specified",IFERROR(INDEX(Lookup_Tables!$E$6:$E$13,MATCH(TRIM(Raw_Data!K31),Lookup_Tables!$D$6:$D$13,0)),"Unknown - Review"))</f>
        <v>Delivered</v>
      </c>
      <c r="L31" s="17" t="str">
        <f>IF(TRIM(Raw_Data!L31)="","",PROPER(TRIM(Raw_Data!L31)))</f>
        <v>Unit Commander</v>
      </c>
      <c r="M31" s="22">
        <f>IF(Raw_Data!M31="","",IF(ISNUMBER(Raw_Data!M31),Raw_Data!M31,IF(ISNUMBER(SEARCH("/",Raw_Data!M31)),IFERROR(DATE(VALUE(RIGHT(Raw_Data!M31,4)),VALUE(MID(Raw_Data!M31,4,2)),VALUE(LEFT(Raw_Data!M31,2))),"Invalid Date"),IFERROR(DATEVALUE(Raw_Data!M31),"Invalid Date"))))</f>
        <v>45896</v>
      </c>
      <c r="N31" s="22">
        <f>IF(Raw_Data!N31="","",IF(ISNUMBER(Raw_Data!N31),Raw_Data!N31,IF(ISNUMBER(SEARCH("/",Raw_Data!N31)),IFERROR(DATE(VALUE(RIGHT(Raw_Data!N31,4)),VALUE(MID(Raw_Data!N31,4,2)),VALUE(LEFT(Raw_Data!N31,2))),"Invalid Date"),IFERROR(DATEVALUE(Raw_Data!N31),"Invalid Date"))))</f>
        <v>45901</v>
      </c>
      <c r="O31" s="22">
        <f>IF(Raw_Data!O31="","",IF(ISNUMBER(Raw_Data!O31),Raw_Data!O31,IF(ISNUMBER(SEARCH("/",Raw_Data!O31)),IFERROR(DATE(VALUE(RIGHT(Raw_Data!O31,4)),VALUE(MID(Raw_Data!O31,4,2)),VALUE(LEFT(Raw_Data!O31,2))),"Invalid Date"),IFERROR(DATEVALUE(Raw_Data!O31),"Invalid Date"))))</f>
        <v>45917</v>
      </c>
      <c r="P31" s="17" t="str">
        <f>IF(OR(TRIM(Raw_Data!P31)="",TRIM(Raw_Data!P31)="N/A",TRIM(Raw_Data!P31)="TBD",TRIM(Raw_Data!P31)="-"),"Not Assigned",PROPER(TRIM(Raw_Data!P31)))</f>
        <v>Rapid Vendors Ltd</v>
      </c>
      <c r="Q31" s="24">
        <f t="shared" si="0"/>
        <v>9957242.879999999</v>
      </c>
      <c r="R31" s="17">
        <f t="shared" si="1"/>
        <v>16</v>
      </c>
      <c r="S31" s="17" t="str">
        <f>IF(COUNTIF($A$2:A31,A31)&gt;1,"Duplicate","Unique")</f>
        <v>Unique</v>
      </c>
      <c r="T31" s="17" t="str">
        <f t="shared" si="2"/>
        <v>No</v>
      </c>
      <c r="U31" s="17" t="str">
        <f t="shared" si="3"/>
        <v>No</v>
      </c>
      <c r="V31" s="17" t="str">
        <f t="shared" si="4"/>
        <v>Yes</v>
      </c>
      <c r="W31" s="17" t="str">
        <f t="shared" si="5"/>
        <v>Aug-2025</v>
      </c>
    </row>
    <row r="32" spans="1:23" x14ac:dyDescent="0.3">
      <c r="A32" s="17" t="str">
        <f>TRIM(Raw_Data!A32)</f>
        <v>REQ-2025-0031</v>
      </c>
      <c r="B32" s="22">
        <f>IF(Raw_Data!B32="","",IF(ISNUMBER(Raw_Data!B32),Raw_Data!B32,IF(ISNUMBER(SEARCH("/",Raw_Data!B32)),IFERROR(DATE(VALUE(RIGHT(Raw_Data!B32,4)),VALUE(MID(Raw_Data!B32,4,2)),VALUE(LEFT(Raw_Data!B32,2))),"Invalid Date"),IFERROR(DATEVALUE(Raw_Data!B32),"Invalid Date"))))</f>
        <v>45675</v>
      </c>
      <c r="C32" s="17" t="str">
        <f>IF(TRIM(Raw_Data!C32)="","",PROPER(TRIM(Raw_Data!C32)))</f>
        <v>Unit B - Artillery</v>
      </c>
      <c r="D32" s="17" t="str">
        <f>IF(TRIM(Raw_Data!D32)="","Not Specified",IFERROR(INDEX(Lookup_Tables!$H$6:$H$12,MATCH(TRIM(Raw_Data!D32),Lookup_Tables!$G$6:$G$12,0)),"Unknown - Review"))</f>
        <v>Northern</v>
      </c>
      <c r="E32" s="17" t="str">
        <f>IF(TRIM(Raw_Data!E32)="","Not Specified",IFERROR(INDEX(Lookup_Tables!$B$6:$B$18,MATCH(TRIM(Raw_Data!E32),Lookup_Tables!$A$6:$A$18,0)),"Unknown - Review"))</f>
        <v>Communication Equipment</v>
      </c>
      <c r="F32" s="17" t="str">
        <f>IF(TRIM(Raw_Data!F32)="","",TRIM(Raw_Data!F32))</f>
        <v>Antenna Unit</v>
      </c>
      <c r="G32" s="17">
        <f>IF(Raw_Data!G32="","",IF(VALUE(Raw_Data!G32)&lt;=0,"Invalid",VALUE(Raw_Data!G32)))</f>
        <v>470</v>
      </c>
      <c r="H32" s="17">
        <f>IF(Raw_Data!H32="","",IF(VALUE(Raw_Data!H32)&lt;=0,"Invalid",VALUE(Raw_Data!H32)))</f>
        <v>353</v>
      </c>
      <c r="I32" s="23">
        <f>IFERROR(VALUE(SUBSTITUTE(SUBSTITUTE(Raw_Data!I32,"₹",""),",","")),"")</f>
        <v>6077</v>
      </c>
      <c r="J32" s="17" t="str">
        <f>IF(TRIM(Raw_Data!J32)="","Not Specified",PROPER(TRIM(Raw_Data!J32)))</f>
        <v>Medium</v>
      </c>
      <c r="K32" s="17" t="str">
        <f>IF(TRIM(Raw_Data!K32)="","Not Specified",IFERROR(INDEX(Lookup_Tables!$E$6:$E$13,MATCH(TRIM(Raw_Data!K32),Lookup_Tables!$D$6:$D$13,0)),"Unknown - Review"))</f>
        <v>Dispatched</v>
      </c>
      <c r="L32" s="17" t="str">
        <f>IF(TRIM(Raw_Data!L32)="","",PROPER(TRIM(Raw_Data!L32)))</f>
        <v>Quartermaster</v>
      </c>
      <c r="M32" s="22">
        <f>IF(Raw_Data!M32="","",IF(ISNUMBER(Raw_Data!M32),Raw_Data!M32,IF(ISNUMBER(SEARCH("/",Raw_Data!M32)),IFERROR(DATE(VALUE(RIGHT(Raw_Data!M32,4)),VALUE(MID(Raw_Data!M32,4,2)),VALUE(LEFT(Raw_Data!M32,2))),"Invalid Date"),IFERROR(DATEVALUE(Raw_Data!M32),"Invalid Date"))))</f>
        <v>45684</v>
      </c>
      <c r="N32" s="22">
        <f>IF(Raw_Data!N32="","",IF(ISNUMBER(Raw_Data!N32),Raw_Data!N32,IF(ISNUMBER(SEARCH("/",Raw_Data!N32)),IFERROR(DATE(VALUE(RIGHT(Raw_Data!N32,4)),VALUE(MID(Raw_Data!N32,4,2)),VALUE(LEFT(Raw_Data!N32,2))),"Invalid Date"),IFERROR(DATEVALUE(Raw_Data!N32),"Invalid Date"))))</f>
        <v>45700</v>
      </c>
      <c r="O32" s="22" t="str">
        <f>IF(Raw_Data!O32="","",IF(ISNUMBER(Raw_Data!O32),Raw_Data!O32,IF(ISNUMBER(SEARCH("/",Raw_Data!O32)),IFERROR(DATE(VALUE(RIGHT(Raw_Data!O32,4)),VALUE(MID(Raw_Data!O32,4,2)),VALUE(LEFT(Raw_Data!O32,2))),"Invalid Date"),IFERROR(DATEVALUE(Raw_Data!O32),"Invalid Date"))))</f>
        <v/>
      </c>
      <c r="P32" s="17" t="str">
        <f>IF(OR(TRIM(Raw_Data!P32)="",TRIM(Raw_Data!P32)="N/A",TRIM(Raw_Data!P32)="TBD",TRIM(Raw_Data!P32)="-"),"Not Assigned",PROPER(TRIM(Raw_Data!P32)))</f>
        <v>Shakti Traders</v>
      </c>
      <c r="Q32" s="24">
        <f t="shared" si="0"/>
        <v>2145181</v>
      </c>
      <c r="R32" s="17" t="str">
        <f t="shared" si="1"/>
        <v/>
      </c>
      <c r="S32" s="17" t="str">
        <f>IF(COUNTIF($A$2:A32,A32)&gt;1,"Duplicate","Unique")</f>
        <v>Unique</v>
      </c>
      <c r="T32" s="17" t="str">
        <f t="shared" si="2"/>
        <v>No</v>
      </c>
      <c r="U32" s="17" t="str">
        <f t="shared" si="3"/>
        <v>No</v>
      </c>
      <c r="V32" s="17" t="str">
        <f t="shared" si="4"/>
        <v>Yes</v>
      </c>
      <c r="W32" s="17" t="str">
        <f t="shared" si="5"/>
        <v>Jan-2025</v>
      </c>
    </row>
    <row r="33" spans="1:23" x14ac:dyDescent="0.3">
      <c r="A33" s="17" t="str">
        <f>TRIM(Raw_Data!A33)</f>
        <v>REQ-2025-0032</v>
      </c>
      <c r="B33" s="22" t="str">
        <f>IF(Raw_Data!B33="","",IF(ISNUMBER(Raw_Data!B33),Raw_Data!B33,IF(ISNUMBER(SEARCH("/",Raw_Data!B33)),IFERROR(DATE(VALUE(RIGHT(Raw_Data!B33,4)),VALUE(MID(Raw_Data!B33,4,2)),VALUE(LEFT(Raw_Data!B33,2))),"Invalid Date"),IFERROR(DATEVALUE(Raw_Data!B33),"Invalid Date"))))</f>
        <v/>
      </c>
      <c r="C33" s="17" t="str">
        <f>IF(TRIM(Raw_Data!C33)="","",PROPER(TRIM(Raw_Data!C33)))</f>
        <v>Unit G - Transport Corps</v>
      </c>
      <c r="D33" s="17" t="str">
        <f>IF(TRIM(Raw_Data!D33)="","Not Specified",IFERROR(INDEX(Lookup_Tables!$H$6:$H$12,MATCH(TRIM(Raw_Data!D33),Lookup_Tables!$G$6:$G$12,0)),"Unknown - Review"))</f>
        <v>Southern</v>
      </c>
      <c r="E33" s="17" t="str">
        <f>IF(TRIM(Raw_Data!E33)="","Not Specified",IFERROR(INDEX(Lookup_Tables!$B$6:$B$18,MATCH(TRIM(Raw_Data!E33),Lookup_Tables!$A$6:$A$18,0)),"Unknown - Review"))</f>
        <v>Tents &amp; Shelter</v>
      </c>
      <c r="F33" s="17" t="str">
        <f>IF(TRIM(Raw_Data!F33)="","",TRIM(Raw_Data!F33))</f>
        <v>10-Man Tent</v>
      </c>
      <c r="G33" s="17">
        <f>IF(Raw_Data!G33="","",IF(VALUE(Raw_Data!G33)&lt;=0,"Invalid",VALUE(Raw_Data!G33)))</f>
        <v>426</v>
      </c>
      <c r="H33" s="17" t="str">
        <f>IF(Raw_Data!H33="","",IF(VALUE(Raw_Data!H33)&lt;=0,"Invalid",VALUE(Raw_Data!H33)))</f>
        <v/>
      </c>
      <c r="I33" s="23">
        <f>IFERROR(VALUE(SUBSTITUTE(SUBSTITUTE(Raw_Data!I33,"₹",""),",","")),"")</f>
        <v>30416.42</v>
      </c>
      <c r="J33" s="17" t="str">
        <f>IF(TRIM(Raw_Data!J33)="","Not Specified",PROPER(TRIM(Raw_Data!J33)))</f>
        <v>Low</v>
      </c>
      <c r="K33" s="17" t="str">
        <f>IF(TRIM(Raw_Data!K33)="","Not Specified",IFERROR(INDEX(Lookup_Tables!$E$6:$E$13,MATCH(TRIM(Raw_Data!K33),Lookup_Tables!$D$6:$D$13,0)),"Unknown - Review"))</f>
        <v>Rejected</v>
      </c>
      <c r="L33" s="17" t="str">
        <f>IF(TRIM(Raw_Data!L33)="","",PROPER(TRIM(Raw_Data!L33)))</f>
        <v>Unit Commander</v>
      </c>
      <c r="M33" s="22" t="str">
        <f>IF(Raw_Data!M33="","",IF(ISNUMBER(Raw_Data!M33),Raw_Data!M33,IF(ISNUMBER(SEARCH("/",Raw_Data!M33)),IFERROR(DATE(VALUE(RIGHT(Raw_Data!M33,4)),VALUE(MID(Raw_Data!M33,4,2)),VALUE(LEFT(Raw_Data!M33,2))),"Invalid Date"),IFERROR(DATEVALUE(Raw_Data!M33),"Invalid Date"))))</f>
        <v/>
      </c>
      <c r="N33" s="22" t="str">
        <f>IF(Raw_Data!N33="","",IF(ISNUMBER(Raw_Data!N33),Raw_Data!N33,IF(ISNUMBER(SEARCH("/",Raw_Data!N33)),IFERROR(DATE(VALUE(RIGHT(Raw_Data!N33,4)),VALUE(MID(Raw_Data!N33,4,2)),VALUE(LEFT(Raw_Data!N33,2))),"Invalid Date"),IFERROR(DATEVALUE(Raw_Data!N33),"Invalid Date"))))</f>
        <v/>
      </c>
      <c r="O33" s="22" t="str">
        <f>IF(Raw_Data!O33="","",IF(ISNUMBER(Raw_Data!O33),Raw_Data!O33,IF(ISNUMBER(SEARCH("/",Raw_Data!O33)),IFERROR(DATE(VALUE(RIGHT(Raw_Data!O33,4)),VALUE(MID(Raw_Data!O33,4,2)),VALUE(LEFT(Raw_Data!O33,2))),"Invalid Date"),IFERROR(DATEVALUE(Raw_Data!O33),"Invalid Date"))))</f>
        <v/>
      </c>
      <c r="P33" s="17" t="str">
        <f>IF(OR(TRIM(Raw_Data!P33)="",TRIM(Raw_Data!P33)="N/A",TRIM(Raw_Data!P33)="TBD",TRIM(Raw_Data!P33)="-"),"Not Assigned",PROPER(TRIM(Raw_Data!P33)))</f>
        <v>Central Ordnance Suppliers</v>
      </c>
      <c r="Q33" s="24" t="str">
        <f t="shared" si="0"/>
        <v/>
      </c>
      <c r="R33" s="17" t="str">
        <f t="shared" si="1"/>
        <v/>
      </c>
      <c r="S33" s="17" t="str">
        <f>IF(COUNTIF($A$2:A33,A33)&gt;1,"Duplicate","Unique")</f>
        <v>Unique</v>
      </c>
      <c r="T33" s="17" t="str">
        <f t="shared" si="2"/>
        <v>No</v>
      </c>
      <c r="U33" s="17" t="str">
        <f t="shared" si="3"/>
        <v>No</v>
      </c>
      <c r="V33" s="17" t="str">
        <f t="shared" si="4"/>
        <v>Yes</v>
      </c>
      <c r="W33" s="17" t="str">
        <f t="shared" si="5"/>
        <v/>
      </c>
    </row>
    <row r="34" spans="1:23" x14ac:dyDescent="0.3">
      <c r="A34" s="17" t="str">
        <f>TRIM(Raw_Data!A34)</f>
        <v>REQ-2025-0033</v>
      </c>
      <c r="B34" s="22">
        <f>IF(Raw_Data!B34="","",IF(ISNUMBER(Raw_Data!B34),Raw_Data!B34,IF(ISNUMBER(SEARCH("/",Raw_Data!B34)),IFERROR(DATE(VALUE(RIGHT(Raw_Data!B34,4)),VALUE(MID(Raw_Data!B34,4,2)),VALUE(LEFT(Raw_Data!B34,2))),"Invalid Date"),IFERROR(DATEVALUE(Raw_Data!B34),"Invalid Date"))))</f>
        <v>45872</v>
      </c>
      <c r="C34" s="17" t="str">
        <f>IF(TRIM(Raw_Data!C34)="","",PROPER(TRIM(Raw_Data!C34)))</f>
        <v>Unit C - Engineers</v>
      </c>
      <c r="D34" s="17" t="str">
        <f>IF(TRIM(Raw_Data!D34)="","Not Specified",IFERROR(INDEX(Lookup_Tables!$H$6:$H$12,MATCH(TRIM(Raw_Data!D34),Lookup_Tables!$G$6:$G$12,0)),"Unknown - Review"))</f>
        <v>Eastern</v>
      </c>
      <c r="E34" s="17" t="str">
        <f>IF(TRIM(Raw_Data!E34)="","Not Specified",IFERROR(INDEX(Lookup_Tables!$B$6:$B$18,MATCH(TRIM(Raw_Data!E34),Lookup_Tables!$A$6:$A$18,0)),"Unknown - Review"))</f>
        <v>Fuel &amp; Lubricants</v>
      </c>
      <c r="F34" s="17" t="str">
        <f>IF(TRIM(Raw_Data!F34)="","",TRIM(Raw_Data!F34))</f>
        <v>Kerosene (Drum 200L)</v>
      </c>
      <c r="G34" s="17">
        <f>IF(Raw_Data!G34="","",IF(VALUE(Raw_Data!G34)&lt;=0,"Invalid",VALUE(Raw_Data!G34)))</f>
        <v>340</v>
      </c>
      <c r="H34" s="17">
        <f>IF(Raw_Data!H34="","",IF(VALUE(Raw_Data!H34)&lt;=0,"Invalid",VALUE(Raw_Data!H34)))</f>
        <v>279</v>
      </c>
      <c r="I34" s="23">
        <f>IFERROR(VALUE(SUBSTITUTE(SUBSTITUTE(Raw_Data!I34,"₹",""),",","")),"")</f>
        <v>42825.74</v>
      </c>
      <c r="J34" s="17" t="str">
        <f>IF(TRIM(Raw_Data!J34)="","Not Specified",PROPER(TRIM(Raw_Data!J34)))</f>
        <v>Medium</v>
      </c>
      <c r="K34" s="17" t="str">
        <f>IF(TRIM(Raw_Data!K34)="","Not Specified",IFERROR(INDEX(Lookup_Tables!$E$6:$E$13,MATCH(TRIM(Raw_Data!K34),Lookup_Tables!$D$6:$D$13,0)),"Unknown - Review"))</f>
        <v>Dispatched</v>
      </c>
      <c r="L34" s="17" t="str">
        <f>IF(TRIM(Raw_Data!L34)="","",PROPER(TRIM(Raw_Data!L34)))</f>
        <v>Unit Commander</v>
      </c>
      <c r="M34" s="22" t="str">
        <f>IF(Raw_Data!M34="","",IF(ISNUMBER(Raw_Data!M34),Raw_Data!M34,IF(ISNUMBER(SEARCH("/",Raw_Data!M34)),IFERROR(DATE(VALUE(RIGHT(Raw_Data!M34,4)),VALUE(MID(Raw_Data!M34,4,2)),VALUE(LEFT(Raw_Data!M34,2))),"Invalid Date"),IFERROR(DATEVALUE(Raw_Data!M34),"Invalid Date"))))</f>
        <v/>
      </c>
      <c r="N34" s="22">
        <f>IF(Raw_Data!N34="","",IF(ISNUMBER(Raw_Data!N34),Raw_Data!N34,IF(ISNUMBER(SEARCH("/",Raw_Data!N34)),IFERROR(DATE(VALUE(RIGHT(Raw_Data!N34,4)),VALUE(MID(Raw_Data!N34,4,2)),VALUE(LEFT(Raw_Data!N34,2))),"Invalid Date"),IFERROR(DATEVALUE(Raw_Data!N34),"Invalid Date"))))</f>
        <v>45900</v>
      </c>
      <c r="O34" s="22" t="str">
        <f>IF(Raw_Data!O34="","",IF(ISNUMBER(Raw_Data!O34),Raw_Data!O34,IF(ISNUMBER(SEARCH("/",Raw_Data!O34)),IFERROR(DATE(VALUE(RIGHT(Raw_Data!O34,4)),VALUE(MID(Raw_Data!O34,4,2)),VALUE(LEFT(Raw_Data!O34,2))),"Invalid Date"),IFERROR(DATEVALUE(Raw_Data!O34),"Invalid Date"))))</f>
        <v/>
      </c>
      <c r="P34" s="17" t="str">
        <f>IF(OR(TRIM(Raw_Data!P34)="",TRIM(Raw_Data!P34)="N/A",TRIM(Raw_Data!P34)="TBD",TRIM(Raw_Data!P34)="-"),"Not Assigned",PROPER(TRIM(Raw_Data!P34)))</f>
        <v>Om Suppliers</v>
      </c>
      <c r="Q34" s="24">
        <f t="shared" si="0"/>
        <v>11948381.459999999</v>
      </c>
      <c r="R34" s="17" t="str">
        <f t="shared" si="1"/>
        <v/>
      </c>
      <c r="S34" s="17" t="str">
        <f>IF(COUNTIF($A$2:A34,A34)&gt;1,"Duplicate","Unique")</f>
        <v>Unique</v>
      </c>
      <c r="T34" s="17" t="str">
        <f t="shared" si="2"/>
        <v>No</v>
      </c>
      <c r="U34" s="17" t="str">
        <f t="shared" si="3"/>
        <v>No</v>
      </c>
      <c r="V34" s="17" t="str">
        <f t="shared" si="4"/>
        <v>Yes</v>
      </c>
      <c r="W34" s="17" t="str">
        <f t="shared" si="5"/>
        <v>Aug-2025</v>
      </c>
    </row>
    <row r="35" spans="1:23" x14ac:dyDescent="0.3">
      <c r="A35" s="17" t="str">
        <f>TRIM(Raw_Data!A35)</f>
        <v>REQ-2025-0034</v>
      </c>
      <c r="B35" s="22">
        <f>IF(Raw_Data!B35="","",IF(ISNUMBER(Raw_Data!B35),Raw_Data!B35,IF(ISNUMBER(SEARCH("/",Raw_Data!B35)),IFERROR(DATE(VALUE(RIGHT(Raw_Data!B35,4)),VALUE(MID(Raw_Data!B35,4,2)),VALUE(LEFT(Raw_Data!B35,2))),"Invalid Date"),IFERROR(DATEVALUE(Raw_Data!B35),"Invalid Date"))))</f>
        <v>45947</v>
      </c>
      <c r="C35" s="17" t="str">
        <f>IF(TRIM(Raw_Data!C35)="","",PROPER(TRIM(Raw_Data!C35)))</f>
        <v>Unit A - Infantry</v>
      </c>
      <c r="D35" s="17" t="str">
        <f>IF(TRIM(Raw_Data!D35)="","Not Specified",IFERROR(INDEX(Lookup_Tables!$H$6:$H$12,MATCH(TRIM(Raw_Data!D35),Lookup_Tables!$G$6:$G$12,0)),"Unknown - Review"))</f>
        <v>Northern</v>
      </c>
      <c r="E35" s="17" t="str">
        <f>IF(TRIM(Raw_Data!E35)="","Not Specified",IFERROR(INDEX(Lookup_Tables!$B$6:$B$18,MATCH(TRIM(Raw_Data!E35),Lookup_Tables!$A$6:$A$18,0)),"Unknown - Review"))</f>
        <v>Medical Supplies</v>
      </c>
      <c r="F35" s="17" t="str">
        <f>IF(TRIM(Raw_Data!F35)="","",TRIM(Raw_Data!F35))</f>
        <v>Surgical Gloves (Box)</v>
      </c>
      <c r="G35" s="17">
        <f>IF(Raw_Data!G35="","",IF(VALUE(Raw_Data!G35)&lt;=0,"Invalid",VALUE(Raw_Data!G35)))</f>
        <v>421</v>
      </c>
      <c r="H35" s="17">
        <f>IF(Raw_Data!H35="","",IF(VALUE(Raw_Data!H35)&lt;=0,"Invalid",VALUE(Raw_Data!H35)))</f>
        <v>313</v>
      </c>
      <c r="I35" s="23">
        <f>IFERROR(VALUE(SUBSTITUTE(SUBSTITUTE(Raw_Data!I35,"₹",""),",","")),"")</f>
        <v>40538.82</v>
      </c>
      <c r="J35" s="17" t="str">
        <f>IF(TRIM(Raw_Data!J35)="","Not Specified",PROPER(TRIM(Raw_Data!J35)))</f>
        <v>Medium</v>
      </c>
      <c r="K35" s="17" t="str">
        <f>IF(TRIM(Raw_Data!K35)="","Not Specified",IFERROR(INDEX(Lookup_Tables!$E$6:$E$13,MATCH(TRIM(Raw_Data!K35),Lookup_Tables!$D$6:$D$13,0)),"Unknown - Review"))</f>
        <v>Not Specified</v>
      </c>
      <c r="L35" s="17" t="str">
        <f>IF(TRIM(Raw_Data!L35)="","",PROPER(TRIM(Raw_Data!L35)))</f>
        <v>Logistics Officer</v>
      </c>
      <c r="M35" s="22" t="str">
        <f>IF(Raw_Data!M35="","",IF(ISNUMBER(Raw_Data!M35),Raw_Data!M35,IF(ISNUMBER(SEARCH("/",Raw_Data!M35)),IFERROR(DATE(VALUE(RIGHT(Raw_Data!M35,4)),VALUE(MID(Raw_Data!M35,4,2)),VALUE(LEFT(Raw_Data!M35,2))),"Invalid Date"),IFERROR(DATEVALUE(Raw_Data!M35),"Invalid Date"))))</f>
        <v/>
      </c>
      <c r="N35" s="22">
        <f>IF(Raw_Data!N35="","",IF(ISNUMBER(Raw_Data!N35),Raw_Data!N35,IF(ISNUMBER(SEARCH("/",Raw_Data!N35)),IFERROR(DATE(VALUE(RIGHT(Raw_Data!N35,4)),VALUE(MID(Raw_Data!N35,4,2)),VALUE(LEFT(Raw_Data!N35,2))),"Invalid Date"),IFERROR(DATEVALUE(Raw_Data!N35),"Invalid Date"))))</f>
        <v>45961</v>
      </c>
      <c r="O35" s="22" t="str">
        <f>IF(Raw_Data!O35="","",IF(ISNUMBER(Raw_Data!O35),Raw_Data!O35,IF(ISNUMBER(SEARCH("/",Raw_Data!O35)),IFERROR(DATE(VALUE(RIGHT(Raw_Data!O35,4)),VALUE(MID(Raw_Data!O35,4,2)),VALUE(LEFT(Raw_Data!O35,2))),"Invalid Date"),IFERROR(DATEVALUE(Raw_Data!O35),"Invalid Date"))))</f>
        <v/>
      </c>
      <c r="P35" s="17" t="str">
        <f>IF(OR(TRIM(Raw_Data!P35)="",TRIM(Raw_Data!P35)="N/A",TRIM(Raw_Data!P35)="TBD",TRIM(Raw_Data!P35)="-"),"Not Assigned",PROPER(TRIM(Raw_Data!P35)))</f>
        <v>Not Assigned</v>
      </c>
      <c r="Q35" s="24">
        <f t="shared" si="0"/>
        <v>12688650.66</v>
      </c>
      <c r="R35" s="17" t="str">
        <f t="shared" si="1"/>
        <v/>
      </c>
      <c r="S35" s="17" t="str">
        <f>IF(COUNTIF($A$2:A35,A35)&gt;1,"Duplicate","Unique")</f>
        <v>Unique</v>
      </c>
      <c r="T35" s="17" t="str">
        <f t="shared" si="2"/>
        <v>Yes</v>
      </c>
      <c r="U35" s="17" t="str">
        <f t="shared" si="3"/>
        <v>No</v>
      </c>
      <c r="V35" s="17" t="str">
        <f t="shared" si="4"/>
        <v>No</v>
      </c>
      <c r="W35" s="17" t="str">
        <f t="shared" si="5"/>
        <v>Oct-2025</v>
      </c>
    </row>
    <row r="36" spans="1:23" x14ac:dyDescent="0.3">
      <c r="A36" s="17" t="str">
        <f>TRIM(Raw_Data!A36)</f>
        <v>REQ-2025-0035</v>
      </c>
      <c r="B36" s="22">
        <f>IF(Raw_Data!B36="","",IF(ISNUMBER(Raw_Data!B36),Raw_Data!B36,IF(ISNUMBER(SEARCH("/",Raw_Data!B36)),IFERROR(DATE(VALUE(RIGHT(Raw_Data!B36,4)),VALUE(MID(Raw_Data!B36,4,2)),VALUE(LEFT(Raw_Data!B36,2))),"Invalid Date"),IFERROR(DATEVALUE(Raw_Data!B36),"Invalid Date"))))</f>
        <v>45961</v>
      </c>
      <c r="C36" s="17" t="str">
        <f>IF(TRIM(Raw_Data!C36)="","",PROPER(TRIM(Raw_Data!C36)))</f>
        <v>Unit H - Air Defence</v>
      </c>
      <c r="D36" s="17" t="str">
        <f>IF(TRIM(Raw_Data!D36)="","Not Specified",IFERROR(INDEX(Lookup_Tables!$H$6:$H$12,MATCH(TRIM(Raw_Data!D36),Lookup_Tables!$G$6:$G$12,0)),"Unknown - Review"))</f>
        <v>Eastern</v>
      </c>
      <c r="E36" s="17" t="str">
        <f>IF(TRIM(Raw_Data!E36)="","Not Specified",IFERROR(INDEX(Lookup_Tables!$B$6:$B$18,MATCH(TRIM(Raw_Data!E36),Lookup_Tables!$A$6:$A$18,0)),"Unknown - Review"))</f>
        <v>Fuel &amp; Lubricants</v>
      </c>
      <c r="F36" s="17" t="str">
        <f>IF(TRIM(Raw_Data!F36)="","",TRIM(Raw_Data!F36))</f>
        <v>Kerosene (Drum 200L)</v>
      </c>
      <c r="G36" s="17">
        <f>IF(Raw_Data!G36="","",IF(VALUE(Raw_Data!G36)&lt;=0,"Invalid",VALUE(Raw_Data!G36)))</f>
        <v>377</v>
      </c>
      <c r="H36" s="17" t="str">
        <f>IF(Raw_Data!H36="","",IF(VALUE(Raw_Data!H36)&lt;=0,"Invalid",VALUE(Raw_Data!H36)))</f>
        <v/>
      </c>
      <c r="I36" s="23">
        <f>IFERROR(VALUE(SUBSTITUTE(SUBSTITUTE(Raw_Data!I36,"₹",""),",","")),"")</f>
        <v>39034.089999999997</v>
      </c>
      <c r="J36" s="17" t="str">
        <f>IF(TRIM(Raw_Data!J36)="","Not Specified",PROPER(TRIM(Raw_Data!J36)))</f>
        <v>Medium</v>
      </c>
      <c r="K36" s="17" t="str">
        <f>IF(TRIM(Raw_Data!K36)="","Not Specified",IFERROR(INDEX(Lookup_Tables!$E$6:$E$13,MATCH(TRIM(Raw_Data!K36),Lookup_Tables!$D$6:$D$13,0)),"Unknown - Review"))</f>
        <v>Pending</v>
      </c>
      <c r="L36" s="17" t="str">
        <f>IF(TRIM(Raw_Data!L36)="","",PROPER(TRIM(Raw_Data!L36)))</f>
        <v>Quartermaster</v>
      </c>
      <c r="M36" s="22" t="str">
        <f>IF(Raw_Data!M36="","",IF(ISNUMBER(Raw_Data!M36),Raw_Data!M36,IF(ISNUMBER(SEARCH("/",Raw_Data!M36)),IFERROR(DATE(VALUE(RIGHT(Raw_Data!M36,4)),VALUE(MID(Raw_Data!M36,4,2)),VALUE(LEFT(Raw_Data!M36,2))),"Invalid Date"),IFERROR(DATEVALUE(Raw_Data!M36),"Invalid Date"))))</f>
        <v/>
      </c>
      <c r="N36" s="22" t="str">
        <f>IF(Raw_Data!N36="","",IF(ISNUMBER(Raw_Data!N36),Raw_Data!N36,IF(ISNUMBER(SEARCH("/",Raw_Data!N36)),IFERROR(DATE(VALUE(RIGHT(Raw_Data!N36,4)),VALUE(MID(Raw_Data!N36,4,2)),VALUE(LEFT(Raw_Data!N36,2))),"Invalid Date"),IFERROR(DATEVALUE(Raw_Data!N36),"Invalid Date"))))</f>
        <v/>
      </c>
      <c r="O36" s="22" t="str">
        <f>IF(Raw_Data!O36="","",IF(ISNUMBER(Raw_Data!O36),Raw_Data!O36,IF(ISNUMBER(SEARCH("/",Raw_Data!O36)),IFERROR(DATE(VALUE(RIGHT(Raw_Data!O36,4)),VALUE(MID(Raw_Data!O36,4,2)),VALUE(LEFT(Raw_Data!O36,2))),"Invalid Date"),IFERROR(DATEVALUE(Raw_Data!O36),"Invalid Date"))))</f>
        <v/>
      </c>
      <c r="P36" s="17" t="str">
        <f>IF(OR(TRIM(Raw_Data!P36)="",TRIM(Raw_Data!P36)="N/A",TRIM(Raw_Data!P36)="TBD",TRIM(Raw_Data!P36)="-"),"Not Assigned",PROPER(TRIM(Raw_Data!P36)))</f>
        <v>Not Assigned</v>
      </c>
      <c r="Q36" s="24" t="str">
        <f t="shared" si="0"/>
        <v/>
      </c>
      <c r="R36" s="17" t="str">
        <f t="shared" si="1"/>
        <v/>
      </c>
      <c r="S36" s="17" t="str">
        <f>IF(COUNTIF($A$2:A36,A36)&gt;1,"Duplicate","Unique")</f>
        <v>Unique</v>
      </c>
      <c r="T36" s="17" t="str">
        <f t="shared" si="2"/>
        <v>No</v>
      </c>
      <c r="U36" s="17" t="str">
        <f t="shared" si="3"/>
        <v>No</v>
      </c>
      <c r="V36" s="17" t="str">
        <f t="shared" si="4"/>
        <v>Yes</v>
      </c>
      <c r="W36" s="17" t="str">
        <f t="shared" si="5"/>
        <v>Oct-2025</v>
      </c>
    </row>
    <row r="37" spans="1:23" x14ac:dyDescent="0.3">
      <c r="A37" s="17" t="str">
        <f>TRIM(Raw_Data!A37)</f>
        <v>REQ-2025-0036</v>
      </c>
      <c r="B37" s="22">
        <f>IF(Raw_Data!B37="","",IF(ISNUMBER(Raw_Data!B37),Raw_Data!B37,IF(ISNUMBER(SEARCH("/",Raw_Data!B37)),IFERROR(DATE(VALUE(RIGHT(Raw_Data!B37,4)),VALUE(MID(Raw_Data!B37,4,2)),VALUE(LEFT(Raw_Data!B37,2))),"Invalid Date"),IFERROR(DATEVALUE(Raw_Data!B37),"Invalid Date"))))</f>
        <v>45890</v>
      </c>
      <c r="C37" s="17" t="str">
        <f>IF(TRIM(Raw_Data!C37)="","",PROPER(TRIM(Raw_Data!C37)))</f>
        <v>Unit F - Ordnance Depot</v>
      </c>
      <c r="D37" s="17" t="str">
        <f>IF(TRIM(Raw_Data!D37)="","Not Specified",IFERROR(INDEX(Lookup_Tables!$H$6:$H$12,MATCH(TRIM(Raw_Data!D37),Lookup_Tables!$G$6:$G$12,0)),"Unknown - Review"))</f>
        <v>Northern</v>
      </c>
      <c r="E37" s="17" t="str">
        <f>IF(TRIM(Raw_Data!E37)="","Not Specified",IFERROR(INDEX(Lookup_Tables!$B$6:$B$18,MATCH(TRIM(Raw_Data!E37),Lookup_Tables!$A$6:$A$18,0)),"Unknown - Review"))</f>
        <v>Tents &amp; Shelter</v>
      </c>
      <c r="F37" s="17" t="str">
        <f>IF(TRIM(Raw_Data!F37)="","",TRIM(Raw_Data!F37))</f>
        <v>Camouflage Net</v>
      </c>
      <c r="G37" s="17">
        <f>IF(Raw_Data!G37="","",IF(VALUE(Raw_Data!G37)&lt;=0,"Invalid",VALUE(Raw_Data!G37)))</f>
        <v>411</v>
      </c>
      <c r="H37" s="17">
        <f>IF(Raw_Data!H37="","",IF(VALUE(Raw_Data!H37)&lt;=0,"Invalid",VALUE(Raw_Data!H37)))</f>
        <v>367</v>
      </c>
      <c r="I37" s="23">
        <f>IFERROR(VALUE(SUBSTITUTE(SUBSTITUTE(Raw_Data!I37,"₹",""),",","")),"")</f>
        <v>34638</v>
      </c>
      <c r="J37" s="17" t="str">
        <f>IF(TRIM(Raw_Data!J37)="","Not Specified",PROPER(TRIM(Raw_Data!J37)))</f>
        <v>Routine</v>
      </c>
      <c r="K37" s="17" t="str">
        <f>IF(TRIM(Raw_Data!K37)="","Not Specified",IFERROR(INDEX(Lookup_Tables!$E$6:$E$13,MATCH(TRIM(Raw_Data!K37),Lookup_Tables!$D$6:$D$13,0)),"Unknown - Review"))</f>
        <v>Dispatched</v>
      </c>
      <c r="L37" s="17" t="str">
        <f>IF(TRIM(Raw_Data!L37)="","",PROPER(TRIM(Raw_Data!L37)))</f>
        <v>Quartermaster</v>
      </c>
      <c r="M37" s="22">
        <f>IF(Raw_Data!M37="","",IF(ISNUMBER(Raw_Data!M37),Raw_Data!M37,IF(ISNUMBER(SEARCH("/",Raw_Data!M37)),IFERROR(DATE(VALUE(RIGHT(Raw_Data!M37,4)),VALUE(MID(Raw_Data!M37,4,2)),VALUE(LEFT(Raw_Data!M37,2))),"Invalid Date"),IFERROR(DATEVALUE(Raw_Data!M37),"Invalid Date"))))</f>
        <v>45894</v>
      </c>
      <c r="N37" s="22">
        <f>IF(Raw_Data!N37="","",IF(ISNUMBER(Raw_Data!N37),Raw_Data!N37,IF(ISNUMBER(SEARCH("/",Raw_Data!N37)),IFERROR(DATE(VALUE(RIGHT(Raw_Data!N37,4)),VALUE(MID(Raw_Data!N37,4,2)),VALUE(LEFT(Raw_Data!N37,2))),"Invalid Date"),IFERROR(DATEVALUE(Raw_Data!N37),"Invalid Date"))))</f>
        <v>45912</v>
      </c>
      <c r="O37" s="22" t="str">
        <f>IF(Raw_Data!O37="","",IF(ISNUMBER(Raw_Data!O37),Raw_Data!O37,IF(ISNUMBER(SEARCH("/",Raw_Data!O37)),IFERROR(DATE(VALUE(RIGHT(Raw_Data!O37,4)),VALUE(MID(Raw_Data!O37,4,2)),VALUE(LEFT(Raw_Data!O37,2))),"Invalid Date"),IFERROR(DATEVALUE(Raw_Data!O37),"Invalid Date"))))</f>
        <v/>
      </c>
      <c r="P37" s="17" t="str">
        <f>IF(OR(TRIM(Raw_Data!P37)="",TRIM(Raw_Data!P37)="N/A",TRIM(Raw_Data!P37)="TBD",TRIM(Raw_Data!P37)="-"),"Not Assigned",PROPER(TRIM(Raw_Data!P37)))</f>
        <v>Central Ordnance Suppliers</v>
      </c>
      <c r="Q37" s="24">
        <f t="shared" si="0"/>
        <v>12712146</v>
      </c>
      <c r="R37" s="17" t="str">
        <f t="shared" si="1"/>
        <v/>
      </c>
      <c r="S37" s="17" t="str">
        <f>IF(COUNTIF($A$2:A37,A37)&gt;1,"Duplicate","Unique")</f>
        <v>Unique</v>
      </c>
      <c r="T37" s="17" t="str">
        <f t="shared" si="2"/>
        <v>No</v>
      </c>
      <c r="U37" s="17" t="str">
        <f t="shared" si="3"/>
        <v>No</v>
      </c>
      <c r="V37" s="17" t="str">
        <f t="shared" si="4"/>
        <v>Yes</v>
      </c>
      <c r="W37" s="17" t="str">
        <f t="shared" si="5"/>
        <v>Aug-2025</v>
      </c>
    </row>
    <row r="38" spans="1:23" x14ac:dyDescent="0.3">
      <c r="A38" s="17" t="str">
        <f>TRIM(Raw_Data!A38)</f>
        <v>REQ-2025-0037</v>
      </c>
      <c r="B38" s="22" t="str">
        <f>IF(Raw_Data!B38="","",IF(ISNUMBER(Raw_Data!B38),Raw_Data!B38,IF(ISNUMBER(SEARCH("/",Raw_Data!B38)),IFERROR(DATE(VALUE(RIGHT(Raw_Data!B38,4)),VALUE(MID(Raw_Data!B38,4,2)),VALUE(LEFT(Raw_Data!B38,2))),"Invalid Date"),IFERROR(DATEVALUE(Raw_Data!B38),"Invalid Date"))))</f>
        <v/>
      </c>
      <c r="C38" s="17" t="str">
        <f>IF(TRIM(Raw_Data!C38)="","",PROPER(TRIM(Raw_Data!C38)))</f>
        <v>Unit A - Infantry</v>
      </c>
      <c r="D38" s="17" t="str">
        <f>IF(TRIM(Raw_Data!D38)="","Not Specified",IFERROR(INDEX(Lookup_Tables!$H$6:$H$12,MATCH(TRIM(Raw_Data!D38),Lookup_Tables!$G$6:$G$12,0)),"Unknown - Review"))</f>
        <v>Northern</v>
      </c>
      <c r="E38" s="17" t="str">
        <f>IF(TRIM(Raw_Data!E38)="","Not Specified",IFERROR(INDEX(Lookup_Tables!$B$6:$B$18,MATCH(TRIM(Raw_Data!E38),Lookup_Tables!$A$6:$A$18,0)),"Unknown - Review"))</f>
        <v>Tents &amp; Shelter</v>
      </c>
      <c r="F38" s="17" t="str">
        <f>IF(TRIM(Raw_Data!F38)="","",TRIM(Raw_Data!F38))</f>
        <v>Ground Sheet</v>
      </c>
      <c r="G38" s="17">
        <f>IF(Raw_Data!G38="","",IF(VALUE(Raw_Data!G38)&lt;=0,"Invalid",VALUE(Raw_Data!G38)))</f>
        <v>452</v>
      </c>
      <c r="H38" s="17">
        <f>IF(Raw_Data!H38="","",IF(VALUE(Raw_Data!H38)&lt;=0,"Invalid",VALUE(Raw_Data!H38)))</f>
        <v>434</v>
      </c>
      <c r="I38" s="23">
        <f>IFERROR(VALUE(SUBSTITUTE(SUBSTITUTE(Raw_Data!I38,"₹",""),",","")),"")</f>
        <v>32489.57</v>
      </c>
      <c r="J38" s="17" t="str">
        <f>IF(TRIM(Raw_Data!J38)="","Not Specified",PROPER(TRIM(Raw_Data!J38)))</f>
        <v>Routine</v>
      </c>
      <c r="K38" s="17" t="str">
        <f>IF(TRIM(Raw_Data!K38)="","Not Specified",IFERROR(INDEX(Lookup_Tables!$E$6:$E$13,MATCH(TRIM(Raw_Data!K38),Lookup_Tables!$D$6:$D$13,0)),"Unknown - Review"))</f>
        <v>Delivered</v>
      </c>
      <c r="L38" s="17" t="str">
        <f>IF(TRIM(Raw_Data!L38)="","",PROPER(TRIM(Raw_Data!L38)))</f>
        <v>Stores Officer</v>
      </c>
      <c r="M38" s="22">
        <f>IF(Raw_Data!M38="","",IF(ISNUMBER(Raw_Data!M38),Raw_Data!M38,IF(ISNUMBER(SEARCH("/",Raw_Data!M38)),IFERROR(DATE(VALUE(RIGHT(Raw_Data!M38,4)),VALUE(MID(Raw_Data!M38,4,2)),VALUE(LEFT(Raw_Data!M38,2))),"Invalid Date"),IFERROR(DATEVALUE(Raw_Data!M38),"Invalid Date"))))</f>
        <v>45831</v>
      </c>
      <c r="N38" s="22">
        <f>IF(Raw_Data!N38="","",IF(ISNUMBER(Raw_Data!N38),Raw_Data!N38,IF(ISNUMBER(SEARCH("/",Raw_Data!N38)),IFERROR(DATE(VALUE(RIGHT(Raw_Data!N38,4)),VALUE(MID(Raw_Data!N38,4,2)),VALUE(LEFT(Raw_Data!N38,2))),"Invalid Date"),IFERROR(DATEVALUE(Raw_Data!N38),"Invalid Date"))))</f>
        <v>45855</v>
      </c>
      <c r="O38" s="22">
        <f>IF(Raw_Data!O38="","",IF(ISNUMBER(Raw_Data!O38),Raw_Data!O38,IF(ISNUMBER(SEARCH("/",Raw_Data!O38)),IFERROR(DATE(VALUE(RIGHT(Raw_Data!O38,4)),VALUE(MID(Raw_Data!O38,4,2)),VALUE(LEFT(Raw_Data!O38,2))),"Invalid Date"),IFERROR(DATEVALUE(Raw_Data!O38),"Invalid Date"))))</f>
        <v>45859</v>
      </c>
      <c r="P38" s="17" t="str">
        <f>IF(OR(TRIM(Raw_Data!P38)="",TRIM(Raw_Data!P38)="N/A",TRIM(Raw_Data!P38)="TBD",TRIM(Raw_Data!P38)="-"),"Not Assigned",PROPER(TRIM(Raw_Data!P38)))</f>
        <v>Om Suppliers</v>
      </c>
      <c r="Q38" s="24">
        <f t="shared" si="0"/>
        <v>14100473.379999999</v>
      </c>
      <c r="R38" s="17">
        <f t="shared" si="1"/>
        <v>4</v>
      </c>
      <c r="S38" s="17" t="str">
        <f>IF(COUNTIF($A$2:A38,A38)&gt;1,"Duplicate","Unique")</f>
        <v>Unique</v>
      </c>
      <c r="T38" s="17" t="str">
        <f t="shared" si="2"/>
        <v>No</v>
      </c>
      <c r="U38" s="17" t="str">
        <f t="shared" si="3"/>
        <v>No</v>
      </c>
      <c r="V38" s="17" t="str">
        <f t="shared" si="4"/>
        <v>Yes</v>
      </c>
      <c r="W38" s="17" t="str">
        <f t="shared" si="5"/>
        <v/>
      </c>
    </row>
    <row r="39" spans="1:23" x14ac:dyDescent="0.3">
      <c r="A39" s="17" t="str">
        <f>TRIM(Raw_Data!A39)</f>
        <v>REQ-2025-0038</v>
      </c>
      <c r="B39" s="22" t="str">
        <f>IF(Raw_Data!B39="","",IF(ISNUMBER(Raw_Data!B39),Raw_Data!B39,IF(ISNUMBER(SEARCH("/",Raw_Data!B39)),IFERROR(DATE(VALUE(RIGHT(Raw_Data!B39,4)),VALUE(MID(Raw_Data!B39,4,2)),VALUE(LEFT(Raw_Data!B39,2))),"Invalid Date"),IFERROR(DATEVALUE(Raw_Data!B39),"Invalid Date"))))</f>
        <v/>
      </c>
      <c r="C39" s="17" t="str">
        <f>IF(TRIM(Raw_Data!C39)="","",PROPER(TRIM(Raw_Data!C39)))</f>
        <v>Unit E - Medical Corps</v>
      </c>
      <c r="D39" s="17" t="str">
        <f>IF(TRIM(Raw_Data!D39)="","Not Specified",IFERROR(INDEX(Lookup_Tables!$H$6:$H$12,MATCH(TRIM(Raw_Data!D39),Lookup_Tables!$G$6:$G$12,0)),"Unknown - Review"))</f>
        <v>Central</v>
      </c>
      <c r="E39" s="17" t="str">
        <f>IF(TRIM(Raw_Data!E39)="","Not Specified",IFERROR(INDEX(Lookup_Tables!$B$6:$B$18,MATCH(TRIM(Raw_Data!E39),Lookup_Tables!$A$6:$A$18,0)),"Unknown - Review"))</f>
        <v>Communication Equipment</v>
      </c>
      <c r="F39" s="17" t="str">
        <f>IF(TRIM(Raw_Data!F39)="","",TRIM(Raw_Data!F39))</f>
        <v>Battery Pack (Radio)</v>
      </c>
      <c r="G39" s="17">
        <f>IF(Raw_Data!G39="","",IF(VALUE(Raw_Data!G39)&lt;=0,"Invalid",VALUE(Raw_Data!G39)))</f>
        <v>294</v>
      </c>
      <c r="H39" s="17" t="str">
        <f>IF(Raw_Data!H39="","",IF(VALUE(Raw_Data!H39)&lt;=0,"Invalid",VALUE(Raw_Data!H39)))</f>
        <v/>
      </c>
      <c r="I39" s="23">
        <f>IFERROR(VALUE(SUBSTITUTE(SUBSTITUTE(Raw_Data!I39,"₹",""),",","")),"")</f>
        <v>33382</v>
      </c>
      <c r="J39" s="17" t="str">
        <f>IF(TRIM(Raw_Data!J39)="","Not Specified",PROPER(TRIM(Raw_Data!J39)))</f>
        <v>Medium</v>
      </c>
      <c r="K39" s="17" t="str">
        <f>IF(TRIM(Raw_Data!K39)="","Not Specified",IFERROR(INDEX(Lookup_Tables!$E$6:$E$13,MATCH(TRIM(Raw_Data!K39),Lookup_Tables!$D$6:$D$13,0)),"Unknown - Review"))</f>
        <v>Rejected</v>
      </c>
      <c r="L39" s="17" t="str">
        <f>IF(TRIM(Raw_Data!L39)="","",PROPER(TRIM(Raw_Data!L39)))</f>
        <v>Logistics Officer</v>
      </c>
      <c r="M39" s="22" t="str">
        <f>IF(Raw_Data!M39="","",IF(ISNUMBER(Raw_Data!M39),Raw_Data!M39,IF(ISNUMBER(SEARCH("/",Raw_Data!M39)),IFERROR(DATE(VALUE(RIGHT(Raw_Data!M39,4)),VALUE(MID(Raw_Data!M39,4,2)),VALUE(LEFT(Raw_Data!M39,2))),"Invalid Date"),IFERROR(DATEVALUE(Raw_Data!M39),"Invalid Date"))))</f>
        <v/>
      </c>
      <c r="N39" s="22" t="str">
        <f>IF(Raw_Data!N39="","",IF(ISNUMBER(Raw_Data!N39),Raw_Data!N39,IF(ISNUMBER(SEARCH("/",Raw_Data!N39)),IFERROR(DATE(VALUE(RIGHT(Raw_Data!N39,4)),VALUE(MID(Raw_Data!N39,4,2)),VALUE(LEFT(Raw_Data!N39,2))),"Invalid Date"),IFERROR(DATEVALUE(Raw_Data!N39),"Invalid Date"))))</f>
        <v/>
      </c>
      <c r="O39" s="22" t="str">
        <f>IF(Raw_Data!O39="","",IF(ISNUMBER(Raw_Data!O39),Raw_Data!O39,IF(ISNUMBER(SEARCH("/",Raw_Data!O39)),IFERROR(DATE(VALUE(RIGHT(Raw_Data!O39,4)),VALUE(MID(Raw_Data!O39,4,2)),VALUE(LEFT(Raw_Data!O39,2))),"Invalid Date"),IFERROR(DATEVALUE(Raw_Data!O39),"Invalid Date"))))</f>
        <v/>
      </c>
      <c r="P39" s="17" t="str">
        <f>IF(OR(TRIM(Raw_Data!P39)="",TRIM(Raw_Data!P39)="N/A",TRIM(Raw_Data!P39)="TBD",TRIM(Raw_Data!P39)="-"),"Not Assigned",PROPER(TRIM(Raw_Data!P39)))</f>
        <v>Not Assigned</v>
      </c>
      <c r="Q39" s="24" t="str">
        <f t="shared" si="0"/>
        <v/>
      </c>
      <c r="R39" s="17" t="str">
        <f t="shared" si="1"/>
        <v/>
      </c>
      <c r="S39" s="17" t="str">
        <f>IF(COUNTIF($A$2:A39,A39)&gt;1,"Duplicate","Unique")</f>
        <v>Unique</v>
      </c>
      <c r="T39" s="17" t="str">
        <f t="shared" si="2"/>
        <v>No</v>
      </c>
      <c r="U39" s="17" t="str">
        <f t="shared" si="3"/>
        <v>No</v>
      </c>
      <c r="V39" s="17" t="str">
        <f t="shared" si="4"/>
        <v>Yes</v>
      </c>
      <c r="W39" s="17" t="str">
        <f t="shared" si="5"/>
        <v/>
      </c>
    </row>
    <row r="40" spans="1:23" x14ac:dyDescent="0.3">
      <c r="A40" s="17" t="str">
        <f>TRIM(Raw_Data!A40)</f>
        <v>REQ-2025-0039</v>
      </c>
      <c r="B40" s="22">
        <f>IF(Raw_Data!B40="","",IF(ISNUMBER(Raw_Data!B40),Raw_Data!B40,IF(ISNUMBER(SEARCH("/",Raw_Data!B40)),IFERROR(DATE(VALUE(RIGHT(Raw_Data!B40,4)),VALUE(MID(Raw_Data!B40,4,2)),VALUE(LEFT(Raw_Data!B40,2))),"Invalid Date"),IFERROR(DATEVALUE(Raw_Data!B40),"Invalid Date"))))</f>
        <v>45797</v>
      </c>
      <c r="C40" s="17" t="str">
        <f>IF(TRIM(Raw_Data!C40)="","",PROPER(TRIM(Raw_Data!C40)))</f>
        <v>Unit G - Transport Corps</v>
      </c>
      <c r="D40" s="17" t="str">
        <f>IF(TRIM(Raw_Data!D40)="","Not Specified",IFERROR(INDEX(Lookup_Tables!$H$6:$H$12,MATCH(TRIM(Raw_Data!D40),Lookup_Tables!$G$6:$G$12,0)),"Unknown - Review"))</f>
        <v>Southern</v>
      </c>
      <c r="E40" s="17" t="str">
        <f>IF(TRIM(Raw_Data!E40)="","Not Specified",IFERROR(INDEX(Lookup_Tables!$B$6:$B$18,MATCH(TRIM(Raw_Data!E40),Lookup_Tables!$A$6:$A$18,0)),"Unknown - Review"))</f>
        <v>Office &amp; IT Equipment</v>
      </c>
      <c r="F40" s="17" t="str">
        <f>IF(TRIM(Raw_Data!F40)="","",TRIM(Raw_Data!F40))</f>
        <v>Filing Cabinet</v>
      </c>
      <c r="G40" s="17">
        <f>IF(Raw_Data!G40="","",IF(VALUE(Raw_Data!G40)&lt;=0,"Invalid",VALUE(Raw_Data!G40)))</f>
        <v>225</v>
      </c>
      <c r="H40" s="17">
        <f>IF(Raw_Data!H40="","",IF(VALUE(Raw_Data!H40)&lt;=0,"Invalid",VALUE(Raw_Data!H40)))</f>
        <v>197</v>
      </c>
      <c r="I40" s="23">
        <f>IFERROR(VALUE(SUBSTITUTE(SUBSTITUTE(Raw_Data!I40,"₹",""),",","")),"")</f>
        <v>23782.99</v>
      </c>
      <c r="J40" s="17" t="str">
        <f>IF(TRIM(Raw_Data!J40)="","Not Specified",PROPER(TRIM(Raw_Data!J40)))</f>
        <v>High</v>
      </c>
      <c r="K40" s="17" t="str">
        <f>IF(TRIM(Raw_Data!K40)="","Not Specified",IFERROR(INDEX(Lookup_Tables!$E$6:$E$13,MATCH(TRIM(Raw_Data!K40),Lookup_Tables!$D$6:$D$13,0)),"Unknown - Review"))</f>
        <v>Approved</v>
      </c>
      <c r="L40" s="17" t="str">
        <f>IF(TRIM(Raw_Data!L40)="","",PROPER(TRIM(Raw_Data!L40)))</f>
        <v>Stores Officer</v>
      </c>
      <c r="M40" s="22">
        <f>IF(Raw_Data!M40="","",IF(ISNUMBER(Raw_Data!M40),Raw_Data!M40,IF(ISNUMBER(SEARCH("/",Raw_Data!M40)),IFERROR(DATE(VALUE(RIGHT(Raw_Data!M40,4)),VALUE(MID(Raw_Data!M40,4,2)),VALUE(LEFT(Raw_Data!M40,2))),"Invalid Date"),IFERROR(DATEVALUE(Raw_Data!M40),"Invalid Date"))))</f>
        <v>45802</v>
      </c>
      <c r="N40" s="22">
        <f>IF(Raw_Data!N40="","",IF(ISNUMBER(Raw_Data!N40),Raw_Data!N40,IF(ISNUMBER(SEARCH("/",Raw_Data!N40)),IFERROR(DATE(VALUE(RIGHT(Raw_Data!N40,4)),VALUE(MID(Raw_Data!N40,4,2)),VALUE(LEFT(Raw_Data!N40,2))),"Invalid Date"),IFERROR(DATEVALUE(Raw_Data!N40),"Invalid Date"))))</f>
        <v>45808</v>
      </c>
      <c r="O40" s="22" t="str">
        <f>IF(Raw_Data!O40="","",IF(ISNUMBER(Raw_Data!O40),Raw_Data!O40,IF(ISNUMBER(SEARCH("/",Raw_Data!O40)),IFERROR(DATE(VALUE(RIGHT(Raw_Data!O40,4)),VALUE(MID(Raw_Data!O40,4,2)),VALUE(LEFT(Raw_Data!O40,2))),"Invalid Date"),IFERROR(DATEVALUE(Raw_Data!O40),"Invalid Date"))))</f>
        <v/>
      </c>
      <c r="P40" s="17" t="str">
        <f>IF(OR(TRIM(Raw_Data!P40)="",TRIM(Raw_Data!P40)="N/A",TRIM(Raw_Data!P40)="TBD",TRIM(Raw_Data!P40)="-"),"Not Assigned",PROPER(TRIM(Raw_Data!P40)))</f>
        <v>Vikram Enterprises</v>
      </c>
      <c r="Q40" s="24">
        <f t="shared" si="0"/>
        <v>4685249.03</v>
      </c>
      <c r="R40" s="17" t="str">
        <f t="shared" si="1"/>
        <v/>
      </c>
      <c r="S40" s="17" t="str">
        <f>IF(COUNTIF($A$2:A40,A40)&gt;1,"Duplicate","Unique")</f>
        <v>Unique</v>
      </c>
      <c r="T40" s="17" t="str">
        <f t="shared" si="2"/>
        <v>No</v>
      </c>
      <c r="U40" s="17" t="str">
        <f t="shared" si="3"/>
        <v>No</v>
      </c>
      <c r="V40" s="17" t="str">
        <f t="shared" si="4"/>
        <v>Yes</v>
      </c>
      <c r="W40" s="17" t="str">
        <f t="shared" si="5"/>
        <v>May-2025</v>
      </c>
    </row>
    <row r="41" spans="1:23" x14ac:dyDescent="0.3">
      <c r="A41" s="17" t="str">
        <f>TRIM(Raw_Data!A41)</f>
        <v>REQ-2025-0040</v>
      </c>
      <c r="B41" s="22">
        <f>IF(Raw_Data!B41="","",IF(ISNUMBER(Raw_Data!B41),Raw_Data!B41,IF(ISNUMBER(SEARCH("/",Raw_Data!B41)),IFERROR(DATE(VALUE(RIGHT(Raw_Data!B41,4)),VALUE(MID(Raw_Data!B41,4,2)),VALUE(LEFT(Raw_Data!B41,2))),"Invalid Date"),IFERROR(DATEVALUE(Raw_Data!B41),"Invalid Date"))))</f>
        <v>45893</v>
      </c>
      <c r="C41" s="17" t="str">
        <f>IF(TRIM(Raw_Data!C41)="","",PROPER(TRIM(Raw_Data!C41)))</f>
        <v>Unit G - Transport Corps</v>
      </c>
      <c r="D41" s="17" t="str">
        <f>IF(TRIM(Raw_Data!D41)="","Not Specified",IFERROR(INDEX(Lookup_Tables!$H$6:$H$12,MATCH(TRIM(Raw_Data!D41),Lookup_Tables!$G$6:$G$12,0)),"Unknown - Review"))</f>
        <v>Northern</v>
      </c>
      <c r="E41" s="17" t="str">
        <f>IF(TRIM(Raw_Data!E41)="","Not Specified",IFERROR(INDEX(Lookup_Tables!$B$6:$B$18,MATCH(TRIM(Raw_Data!E41),Lookup_Tables!$A$6:$A$18,0)),"Unknown - Review"))</f>
        <v>Construction Material</v>
      </c>
      <c r="F41" s="17" t="str">
        <f>IF(TRIM(Raw_Data!F41)="","",TRIM(Raw_Data!F41))</f>
        <v>Cement Bag (50kg)</v>
      </c>
      <c r="G41" s="17">
        <f>IF(Raw_Data!G41="","",IF(VALUE(Raw_Data!G41)&lt;=0,"Invalid",VALUE(Raw_Data!G41)))</f>
        <v>298</v>
      </c>
      <c r="H41" s="17">
        <f>IF(Raw_Data!H41="","",IF(VALUE(Raw_Data!H41)&lt;=0,"Invalid",VALUE(Raw_Data!H41)))</f>
        <v>234</v>
      </c>
      <c r="I41" s="23">
        <f>IFERROR(VALUE(SUBSTITUTE(SUBSTITUTE(Raw_Data!I41,"₹",""),",","")),"")</f>
        <v>18315.7</v>
      </c>
      <c r="J41" s="17" t="str">
        <f>IF(TRIM(Raw_Data!J41)="","Not Specified",PROPER(TRIM(Raw_Data!J41)))</f>
        <v>Low</v>
      </c>
      <c r="K41" s="17" t="str">
        <f>IF(TRIM(Raw_Data!K41)="","Not Specified",IFERROR(INDEX(Lookup_Tables!$E$6:$E$13,MATCH(TRIM(Raw_Data!K41),Lookup_Tables!$D$6:$D$13,0)),"Unknown - Review"))</f>
        <v>Delivered</v>
      </c>
      <c r="L41" s="17" t="str">
        <f>IF(TRIM(Raw_Data!L41)="","",PROPER(TRIM(Raw_Data!L41)))</f>
        <v>Unit Commander</v>
      </c>
      <c r="M41" s="22" t="str">
        <f>IF(Raw_Data!M41="","",IF(ISNUMBER(Raw_Data!M41),Raw_Data!M41,IF(ISNUMBER(SEARCH("/",Raw_Data!M41)),IFERROR(DATE(VALUE(RIGHT(Raw_Data!M41,4)),VALUE(MID(Raw_Data!M41,4,2)),VALUE(LEFT(Raw_Data!M41,2))),"Invalid Date"),IFERROR(DATEVALUE(Raw_Data!M41),"Invalid Date"))))</f>
        <v/>
      </c>
      <c r="N41" s="22">
        <f>IF(Raw_Data!N41="","",IF(ISNUMBER(Raw_Data!N41),Raw_Data!N41,IF(ISNUMBER(SEARCH("/",Raw_Data!N41)),IFERROR(DATE(VALUE(RIGHT(Raw_Data!N41,4)),VALUE(MID(Raw_Data!N41,4,2)),VALUE(LEFT(Raw_Data!N41,2))),"Invalid Date"),IFERROR(DATEVALUE(Raw_Data!N41),"Invalid Date"))))</f>
        <v>45909</v>
      </c>
      <c r="O41" s="22">
        <f>IF(Raw_Data!O41="","",IF(ISNUMBER(Raw_Data!O41),Raw_Data!O41,IF(ISNUMBER(SEARCH("/",Raw_Data!O41)),IFERROR(DATE(VALUE(RIGHT(Raw_Data!O41,4)),VALUE(MID(Raw_Data!O41,4,2)),VALUE(LEFT(Raw_Data!O41,2))),"Invalid Date"),IFERROR(DATEVALUE(Raw_Data!O41),"Invalid Date"))))</f>
        <v>45929</v>
      </c>
      <c r="P41" s="17" t="str">
        <f>IF(OR(TRIM(Raw_Data!P41)="",TRIM(Raw_Data!P41)="N/A",TRIM(Raw_Data!P41)="TBD",TRIM(Raw_Data!P41)="-"),"Not Assigned",PROPER(TRIM(Raw_Data!P41)))</f>
        <v>Central Ordnance Suppliers</v>
      </c>
      <c r="Q41" s="24">
        <f t="shared" si="0"/>
        <v>4285873.8</v>
      </c>
      <c r="R41" s="17">
        <f t="shared" si="1"/>
        <v>20</v>
      </c>
      <c r="S41" s="17" t="str">
        <f>IF(COUNTIF($A$2:A41,A41)&gt;1,"Duplicate","Unique")</f>
        <v>Unique</v>
      </c>
      <c r="T41" s="17" t="str">
        <f t="shared" si="2"/>
        <v>No</v>
      </c>
      <c r="U41" s="17" t="str">
        <f t="shared" si="3"/>
        <v>No</v>
      </c>
      <c r="V41" s="17" t="str">
        <f t="shared" si="4"/>
        <v>Yes</v>
      </c>
      <c r="W41" s="17" t="str">
        <f t="shared" si="5"/>
        <v>Aug-2025</v>
      </c>
    </row>
    <row r="42" spans="1:23" x14ac:dyDescent="0.3">
      <c r="A42" s="17" t="str">
        <f>TRIM(Raw_Data!A42)</f>
        <v>REQ-2025-0041</v>
      </c>
      <c r="B42" s="22">
        <f>IF(Raw_Data!B42="","",IF(ISNUMBER(Raw_Data!B42),Raw_Data!B42,IF(ISNUMBER(SEARCH("/",Raw_Data!B42)),IFERROR(DATE(VALUE(RIGHT(Raw_Data!B42,4)),VALUE(MID(Raw_Data!B42,4,2)),VALUE(LEFT(Raw_Data!B42,2))),"Invalid Date"),IFERROR(DATEVALUE(Raw_Data!B42),"Invalid Date"))))</f>
        <v>45759</v>
      </c>
      <c r="C42" s="17" t="str">
        <f>IF(TRIM(Raw_Data!C42)="","",PROPER(TRIM(Raw_Data!C42)))</f>
        <v>Unit C - Engineers</v>
      </c>
      <c r="D42" s="17" t="str">
        <f>IF(TRIM(Raw_Data!D42)="","Not Specified",IFERROR(INDEX(Lookup_Tables!$H$6:$H$12,MATCH(TRIM(Raw_Data!D42),Lookup_Tables!$G$6:$G$12,0)),"Unknown - Review"))</f>
        <v>Eastern</v>
      </c>
      <c r="E42" s="17" t="str">
        <f>IF(TRIM(Raw_Data!E42)="","Not Specified",IFERROR(INDEX(Lookup_Tables!$B$6:$B$18,MATCH(TRIM(Raw_Data!E42),Lookup_Tables!$A$6:$A$18,0)),"Unknown - Review"))</f>
        <v>Uniforms &amp; Clothing</v>
      </c>
      <c r="F42" s="17" t="str">
        <f>IF(TRIM(Raw_Data!F42)="","",TRIM(Raw_Data!F42))</f>
        <v>Field Boots (Pair)</v>
      </c>
      <c r="G42" s="17">
        <f>IF(Raw_Data!G42="","",IF(VALUE(Raw_Data!G42)&lt;=0,"Invalid",VALUE(Raw_Data!G42)))</f>
        <v>95</v>
      </c>
      <c r="H42" s="17">
        <f>IF(Raw_Data!H42="","",IF(VALUE(Raw_Data!H42)&lt;=0,"Invalid",VALUE(Raw_Data!H42)))</f>
        <v>79</v>
      </c>
      <c r="I42" s="23">
        <f>IFERROR(VALUE(SUBSTITUTE(SUBSTITUTE(Raw_Data!I42,"₹",""),",","")),"")</f>
        <v>25434</v>
      </c>
      <c r="J42" s="17" t="str">
        <f>IF(TRIM(Raw_Data!J42)="","Not Specified",PROPER(TRIM(Raw_Data!J42)))</f>
        <v>Medium</v>
      </c>
      <c r="K42" s="17" t="str">
        <f>IF(TRIM(Raw_Data!K42)="","Not Specified",IFERROR(INDEX(Lookup_Tables!$E$6:$E$13,MATCH(TRIM(Raw_Data!K42),Lookup_Tables!$D$6:$D$13,0)),"Unknown - Review"))</f>
        <v>Approved</v>
      </c>
      <c r="L42" s="17" t="str">
        <f>IF(TRIM(Raw_Data!L42)="","",PROPER(TRIM(Raw_Data!L42)))</f>
        <v>Quartermaster</v>
      </c>
      <c r="M42" s="22" t="str">
        <f>IF(Raw_Data!M42="","",IF(ISNUMBER(Raw_Data!M42),Raw_Data!M42,IF(ISNUMBER(SEARCH("/",Raw_Data!M42)),IFERROR(DATE(VALUE(RIGHT(Raw_Data!M42,4)),VALUE(MID(Raw_Data!M42,4,2)),VALUE(LEFT(Raw_Data!M42,2))),"Invalid Date"),IFERROR(DATEVALUE(Raw_Data!M42),"Invalid Date"))))</f>
        <v/>
      </c>
      <c r="N42" s="22">
        <f>IF(Raw_Data!N42="","",IF(ISNUMBER(Raw_Data!N42),Raw_Data!N42,IF(ISNUMBER(SEARCH("/",Raw_Data!N42)),IFERROR(DATE(VALUE(RIGHT(Raw_Data!N42,4)),VALUE(MID(Raw_Data!N42,4,2)),VALUE(LEFT(Raw_Data!N42,2))),"Invalid Date"),IFERROR(DATEVALUE(Raw_Data!N42),"Invalid Date"))))</f>
        <v>45788</v>
      </c>
      <c r="O42" s="22" t="str">
        <f>IF(Raw_Data!O42="","",IF(ISNUMBER(Raw_Data!O42),Raw_Data!O42,IF(ISNUMBER(SEARCH("/",Raw_Data!O42)),IFERROR(DATE(VALUE(RIGHT(Raw_Data!O42,4)),VALUE(MID(Raw_Data!O42,4,2)),VALUE(LEFT(Raw_Data!O42,2))),"Invalid Date"),IFERROR(DATEVALUE(Raw_Data!O42),"Invalid Date"))))</f>
        <v/>
      </c>
      <c r="P42" s="17" t="str">
        <f>IF(OR(TRIM(Raw_Data!P42)="",TRIM(Raw_Data!P42)="N/A",TRIM(Raw_Data!P42)="TBD",TRIM(Raw_Data!P42)="-"),"Not Assigned",PROPER(TRIM(Raw_Data!P42)))</f>
        <v>Om Suppliers</v>
      </c>
      <c r="Q42" s="24">
        <f t="shared" si="0"/>
        <v>2009286</v>
      </c>
      <c r="R42" s="17" t="str">
        <f t="shared" si="1"/>
        <v/>
      </c>
      <c r="S42" s="17" t="str">
        <f>IF(COUNTIF($A$2:A42,A42)&gt;1,"Duplicate","Unique")</f>
        <v>Unique</v>
      </c>
      <c r="T42" s="17" t="str">
        <f t="shared" si="2"/>
        <v>No</v>
      </c>
      <c r="U42" s="17" t="str">
        <f t="shared" si="3"/>
        <v>No</v>
      </c>
      <c r="V42" s="17" t="str">
        <f t="shared" si="4"/>
        <v>Yes</v>
      </c>
      <c r="W42" s="17" t="str">
        <f t="shared" si="5"/>
        <v>Apr-2025</v>
      </c>
    </row>
    <row r="43" spans="1:23" x14ac:dyDescent="0.3">
      <c r="A43" s="17" t="str">
        <f>TRIM(Raw_Data!A43)</f>
        <v>REQ-2025-0042</v>
      </c>
      <c r="B43" s="22" t="str">
        <f>IF(Raw_Data!B43="","",IF(ISNUMBER(Raw_Data!B43),Raw_Data!B43,IF(ISNUMBER(SEARCH("/",Raw_Data!B43)),IFERROR(DATE(VALUE(RIGHT(Raw_Data!B43,4)),VALUE(MID(Raw_Data!B43,4,2)),VALUE(LEFT(Raw_Data!B43,2))),"Invalid Date"),IFERROR(DATEVALUE(Raw_Data!B43),"Invalid Date"))))</f>
        <v/>
      </c>
      <c r="C43" s="17" t="str">
        <f>IF(TRIM(Raw_Data!C43)="","",PROPER(TRIM(Raw_Data!C43)))</f>
        <v>Unit G - Transport Corps</v>
      </c>
      <c r="D43" s="17" t="str">
        <f>IF(TRIM(Raw_Data!D43)="","Not Specified",IFERROR(INDEX(Lookup_Tables!$H$6:$H$12,MATCH(TRIM(Raw_Data!D43),Lookup_Tables!$G$6:$G$12,0)),"Unknown - Review"))</f>
        <v>Southern</v>
      </c>
      <c r="E43" s="17" t="str">
        <f>IF(TRIM(Raw_Data!E43)="","Not Specified",IFERROR(INDEX(Lookup_Tables!$B$6:$B$18,MATCH(TRIM(Raw_Data!E43),Lookup_Tables!$A$6:$A$18,0)),"Unknown - Review"))</f>
        <v>Tents &amp; Shelter</v>
      </c>
      <c r="F43" s="17" t="str">
        <f>IF(TRIM(Raw_Data!F43)="","",TRIM(Raw_Data!F43))</f>
        <v>10-Man Tent</v>
      </c>
      <c r="G43" s="17">
        <f>IF(Raw_Data!G43="","",IF(VALUE(Raw_Data!G43)&lt;=0,"Invalid",VALUE(Raw_Data!G43)))</f>
        <v>314</v>
      </c>
      <c r="H43" s="17">
        <f>IF(Raw_Data!H43="","",IF(VALUE(Raw_Data!H43)&lt;=0,"Invalid",VALUE(Raw_Data!H43)))</f>
        <v>225</v>
      </c>
      <c r="I43" s="23">
        <f>IFERROR(VALUE(SUBSTITUTE(SUBSTITUTE(Raw_Data!I43,"₹",""),",","")),"")</f>
        <v>4792.0600000000004</v>
      </c>
      <c r="J43" s="17" t="str">
        <f>IF(TRIM(Raw_Data!J43)="","Not Specified",PROPER(TRIM(Raw_Data!J43)))</f>
        <v>Medium</v>
      </c>
      <c r="K43" s="17" t="str">
        <f>IF(TRIM(Raw_Data!K43)="","Not Specified",IFERROR(INDEX(Lookup_Tables!$E$6:$E$13,MATCH(TRIM(Raw_Data!K43),Lookup_Tables!$D$6:$D$13,0)),"Unknown - Review"))</f>
        <v>Delivered</v>
      </c>
      <c r="L43" s="17" t="str">
        <f>IF(TRIM(Raw_Data!L43)="","",PROPER(TRIM(Raw_Data!L43)))</f>
        <v>Stores Officer</v>
      </c>
      <c r="M43" s="22" t="str">
        <f>IF(Raw_Data!M43="","",IF(ISNUMBER(Raw_Data!M43),Raw_Data!M43,IF(ISNUMBER(SEARCH("/",Raw_Data!M43)),IFERROR(DATE(VALUE(RIGHT(Raw_Data!M43,4)),VALUE(MID(Raw_Data!M43,4,2)),VALUE(LEFT(Raw_Data!M43,2))),"Invalid Date"),IFERROR(DATEVALUE(Raw_Data!M43),"Invalid Date"))))</f>
        <v/>
      </c>
      <c r="N43" s="22">
        <f>IF(Raw_Data!N43="","",IF(ISNUMBER(Raw_Data!N43),Raw_Data!N43,IF(ISNUMBER(SEARCH("/",Raw_Data!N43)),IFERROR(DATE(VALUE(RIGHT(Raw_Data!N43,4)),VALUE(MID(Raw_Data!N43,4,2)),VALUE(LEFT(Raw_Data!N43,2))),"Invalid Date"),IFERROR(DATEVALUE(Raw_Data!N43),"Invalid Date"))))</f>
        <v>45921</v>
      </c>
      <c r="O43" s="22">
        <f>IF(Raw_Data!O43="","",IF(ISNUMBER(Raw_Data!O43),Raw_Data!O43,IF(ISNUMBER(SEARCH("/",Raw_Data!O43)),IFERROR(DATE(VALUE(RIGHT(Raw_Data!O43,4)),VALUE(MID(Raw_Data!O43,4,2)),VALUE(LEFT(Raw_Data!O43,2))),"Invalid Date"),IFERROR(DATEVALUE(Raw_Data!O43),"Invalid Date"))))</f>
        <v>45918</v>
      </c>
      <c r="P43" s="17" t="str">
        <f>IF(OR(TRIM(Raw_Data!P43)="",TRIM(Raw_Data!P43)="N/A",TRIM(Raw_Data!P43)="TBD",TRIM(Raw_Data!P43)="-"),"Not Assigned",PROPER(TRIM(Raw_Data!P43)))</f>
        <v>National Defence Stores</v>
      </c>
      <c r="Q43" s="24">
        <f t="shared" si="0"/>
        <v>1078213.5</v>
      </c>
      <c r="R43" s="17">
        <f t="shared" si="1"/>
        <v>-3</v>
      </c>
      <c r="S43" s="17" t="str">
        <f>IF(COUNTIF($A$2:A43,A43)&gt;1,"Duplicate","Unique")</f>
        <v>Unique</v>
      </c>
      <c r="T43" s="17" t="str">
        <f t="shared" si="2"/>
        <v>No</v>
      </c>
      <c r="U43" s="17" t="str">
        <f t="shared" si="3"/>
        <v>No</v>
      </c>
      <c r="V43" s="17" t="str">
        <f t="shared" si="4"/>
        <v>Yes</v>
      </c>
      <c r="W43" s="17" t="str">
        <f t="shared" si="5"/>
        <v/>
      </c>
    </row>
    <row r="44" spans="1:23" x14ac:dyDescent="0.3">
      <c r="A44" s="17" t="str">
        <f>TRIM(Raw_Data!A44)</f>
        <v>REQ-2025-0043</v>
      </c>
      <c r="B44" s="22">
        <f>IF(Raw_Data!B44="","",IF(ISNUMBER(Raw_Data!B44),Raw_Data!B44,IF(ISNUMBER(SEARCH("/",Raw_Data!B44)),IFERROR(DATE(VALUE(RIGHT(Raw_Data!B44,4)),VALUE(MID(Raw_Data!B44,4,2)),VALUE(LEFT(Raw_Data!B44,2))),"Invalid Date"),IFERROR(DATEVALUE(Raw_Data!B44),"Invalid Date"))))</f>
        <v>45816</v>
      </c>
      <c r="C44" s="17" t="str">
        <f>IF(TRIM(Raw_Data!C44)="","",PROPER(TRIM(Raw_Data!C44)))</f>
        <v>Unit C - Engineers</v>
      </c>
      <c r="D44" s="17" t="str">
        <f>IF(TRIM(Raw_Data!D44)="","Not Specified",IFERROR(INDEX(Lookup_Tables!$H$6:$H$12,MATCH(TRIM(Raw_Data!D44),Lookup_Tables!$G$6:$G$12,0)),"Unknown - Review"))</f>
        <v>Eastern</v>
      </c>
      <c r="E44" s="17" t="str">
        <f>IF(TRIM(Raw_Data!E44)="","Not Specified",IFERROR(INDEX(Lookup_Tables!$B$6:$B$18,MATCH(TRIM(Raw_Data!E44),Lookup_Tables!$A$6:$A$18,0)),"Unknown - Review"))</f>
        <v>Uniforms &amp; Clothing</v>
      </c>
      <c r="F44" s="17" t="str">
        <f>IF(TRIM(Raw_Data!F44)="","",TRIM(Raw_Data!F44))</f>
        <v>Field Boots (Pair)</v>
      </c>
      <c r="G44" s="17">
        <f>IF(Raw_Data!G44="","",IF(VALUE(Raw_Data!G44)&lt;=0,"Invalid",VALUE(Raw_Data!G44)))</f>
        <v>309</v>
      </c>
      <c r="H44" s="17">
        <f>IF(Raw_Data!H44="","",IF(VALUE(Raw_Data!H44)&lt;=0,"Invalid",VALUE(Raw_Data!H44)))</f>
        <v>268</v>
      </c>
      <c r="I44" s="23">
        <f>IFERROR(VALUE(SUBSTITUTE(SUBSTITUTE(Raw_Data!I44,"₹",""),",","")),"")</f>
        <v>29010.67</v>
      </c>
      <c r="J44" s="17" t="str">
        <f>IF(TRIM(Raw_Data!J44)="","Not Specified",PROPER(TRIM(Raw_Data!J44)))</f>
        <v>Routine</v>
      </c>
      <c r="K44" s="17" t="str">
        <f>IF(TRIM(Raw_Data!K44)="","Not Specified",IFERROR(INDEX(Lookup_Tables!$E$6:$E$13,MATCH(TRIM(Raw_Data!K44),Lookup_Tables!$D$6:$D$13,0)),"Unknown - Review"))</f>
        <v>Delivered</v>
      </c>
      <c r="L44" s="17" t="str">
        <f>IF(TRIM(Raw_Data!L44)="","",PROPER(TRIM(Raw_Data!L44)))</f>
        <v>Logistics Officer</v>
      </c>
      <c r="M44" s="22">
        <f>IF(Raw_Data!M44="","",IF(ISNUMBER(Raw_Data!M44),Raw_Data!M44,IF(ISNUMBER(SEARCH("/",Raw_Data!M44)),IFERROR(DATE(VALUE(RIGHT(Raw_Data!M44,4)),VALUE(MID(Raw_Data!M44,4,2)),VALUE(LEFT(Raw_Data!M44,2))),"Invalid Date"),IFERROR(DATEVALUE(Raw_Data!M44),"Invalid Date"))))</f>
        <v>45822</v>
      </c>
      <c r="N44" s="22">
        <f>IF(Raw_Data!N44="","",IF(ISNUMBER(Raw_Data!N44),Raw_Data!N44,IF(ISNUMBER(SEARCH("/",Raw_Data!N44)),IFERROR(DATE(VALUE(RIGHT(Raw_Data!N44,4)),VALUE(MID(Raw_Data!N44,4,2)),VALUE(LEFT(Raw_Data!N44,2))),"Invalid Date"),IFERROR(DATEVALUE(Raw_Data!N44),"Invalid Date"))))</f>
        <v>45831</v>
      </c>
      <c r="O44" s="22">
        <f>IF(Raw_Data!O44="","",IF(ISNUMBER(Raw_Data!O44),Raw_Data!O44,IF(ISNUMBER(SEARCH("/",Raw_Data!O44)),IFERROR(DATE(VALUE(RIGHT(Raw_Data!O44,4)),VALUE(MID(Raw_Data!O44,4,2)),VALUE(LEFT(Raw_Data!O44,2))),"Invalid Date"),IFERROR(DATEVALUE(Raw_Data!O44),"Invalid Date"))))</f>
        <v>45847</v>
      </c>
      <c r="P44" s="17" t="str">
        <f>IF(OR(TRIM(Raw_Data!P44)="",TRIM(Raw_Data!P44)="N/A",TRIM(Raw_Data!P44)="TBD",TRIM(Raw_Data!P44)="-"),"Not Assigned",PROPER(TRIM(Raw_Data!P44)))</f>
        <v>Sena Supply Co</v>
      </c>
      <c r="Q44" s="24">
        <f t="shared" si="0"/>
        <v>7774859.5599999996</v>
      </c>
      <c r="R44" s="17">
        <f t="shared" si="1"/>
        <v>16</v>
      </c>
      <c r="S44" s="17" t="str">
        <f>IF(COUNTIF($A$2:A44,A44)&gt;1,"Duplicate","Unique")</f>
        <v>Unique</v>
      </c>
      <c r="T44" s="17" t="str">
        <f t="shared" si="2"/>
        <v>No</v>
      </c>
      <c r="U44" s="17" t="str">
        <f t="shared" si="3"/>
        <v>No</v>
      </c>
      <c r="V44" s="17" t="str">
        <f t="shared" si="4"/>
        <v>Yes</v>
      </c>
      <c r="W44" s="17" t="str">
        <f t="shared" si="5"/>
        <v>Jun-2025</v>
      </c>
    </row>
    <row r="45" spans="1:23" x14ac:dyDescent="0.3">
      <c r="A45" s="17" t="str">
        <f>TRIM(Raw_Data!A45)</f>
        <v>REQ-2025-0044</v>
      </c>
      <c r="B45" s="22">
        <f>IF(Raw_Data!B45="","",IF(ISNUMBER(Raw_Data!B45),Raw_Data!B45,IF(ISNUMBER(SEARCH("/",Raw_Data!B45)),IFERROR(DATE(VALUE(RIGHT(Raw_Data!B45,4)),VALUE(MID(Raw_Data!B45,4,2)),VALUE(LEFT(Raw_Data!B45,2))),"Invalid Date"),IFERROR(DATEVALUE(Raw_Data!B45),"Invalid Date"))))</f>
        <v>45750</v>
      </c>
      <c r="C45" s="17" t="str">
        <f>IF(TRIM(Raw_Data!C45)="","",PROPER(TRIM(Raw_Data!C45)))</f>
        <v>Unit C - Engineers</v>
      </c>
      <c r="D45" s="17" t="str">
        <f>IF(TRIM(Raw_Data!D45)="","Not Specified",IFERROR(INDEX(Lookup_Tables!$H$6:$H$12,MATCH(TRIM(Raw_Data!D45),Lookup_Tables!$G$6:$G$12,0)),"Unknown - Review"))</f>
        <v>Eastern</v>
      </c>
      <c r="E45" s="17" t="str">
        <f>IF(TRIM(Raw_Data!E45)="","Not Specified",IFERROR(INDEX(Lookup_Tables!$B$6:$B$18,MATCH(TRIM(Raw_Data!E45),Lookup_Tables!$A$6:$A$18,0)),"Unknown - Review"))</f>
        <v>Uniforms &amp; Clothing</v>
      </c>
      <c r="F45" s="17" t="str">
        <f>IF(TRIM(Raw_Data!F45)="","",TRIM(Raw_Data!F45))</f>
        <v>Winter Jacket</v>
      </c>
      <c r="G45" s="17">
        <f>IF(Raw_Data!G45="","",IF(VALUE(Raw_Data!G45)&lt;=0,"Invalid",VALUE(Raw_Data!G45)))</f>
        <v>27</v>
      </c>
      <c r="H45" s="17">
        <f>IF(Raw_Data!H45="","",IF(VALUE(Raw_Data!H45)&lt;=0,"Invalid",VALUE(Raw_Data!H45)))</f>
        <v>20</v>
      </c>
      <c r="I45" s="23">
        <f>IFERROR(VALUE(SUBSTITUTE(SUBSTITUTE(Raw_Data!I45,"₹",""),",","")),"")</f>
        <v>20072.310000000001</v>
      </c>
      <c r="J45" s="17" t="str">
        <f>IF(TRIM(Raw_Data!J45)="","Not Specified",PROPER(TRIM(Raw_Data!J45)))</f>
        <v>Medium</v>
      </c>
      <c r="K45" s="17" t="str">
        <f>IF(TRIM(Raw_Data!K45)="","Not Specified",IFERROR(INDEX(Lookup_Tables!$E$6:$E$13,MATCH(TRIM(Raw_Data!K45),Lookup_Tables!$D$6:$D$13,0)),"Unknown - Review"))</f>
        <v>Delivered</v>
      </c>
      <c r="L45" s="17" t="str">
        <f>IF(TRIM(Raw_Data!L45)="","",PROPER(TRIM(Raw_Data!L45)))</f>
        <v>Unit Commander</v>
      </c>
      <c r="M45" s="22">
        <f>IF(Raw_Data!M45="","",IF(ISNUMBER(Raw_Data!M45),Raw_Data!M45,IF(ISNUMBER(SEARCH("/",Raw_Data!M45)),IFERROR(DATE(VALUE(RIGHT(Raw_Data!M45,4)),VALUE(MID(Raw_Data!M45,4,2)),VALUE(LEFT(Raw_Data!M45,2))),"Invalid Date"),IFERROR(DATEVALUE(Raw_Data!M45),"Invalid Date"))))</f>
        <v>45755</v>
      </c>
      <c r="N45" s="22">
        <f>IF(Raw_Data!N45="","",IF(ISNUMBER(Raw_Data!N45),Raw_Data!N45,IF(ISNUMBER(SEARCH("/",Raw_Data!N45)),IFERROR(DATE(VALUE(RIGHT(Raw_Data!N45,4)),VALUE(MID(Raw_Data!N45,4,2)),VALUE(LEFT(Raw_Data!N45,2))),"Invalid Date"),IFERROR(DATEVALUE(Raw_Data!N45),"Invalid Date"))))</f>
        <v>45784</v>
      </c>
      <c r="O45" s="22">
        <f>IF(Raw_Data!O45="","",IF(ISNUMBER(Raw_Data!O45),Raw_Data!O45,IF(ISNUMBER(SEARCH("/",Raw_Data!O45)),IFERROR(DATE(VALUE(RIGHT(Raw_Data!O45,4)),VALUE(MID(Raw_Data!O45,4,2)),VALUE(LEFT(Raw_Data!O45,2))),"Invalid Date"),IFERROR(DATEVALUE(Raw_Data!O45),"Invalid Date"))))</f>
        <v>45802</v>
      </c>
      <c r="P45" s="17" t="str">
        <f>IF(OR(TRIM(Raw_Data!P45)="",TRIM(Raw_Data!P45)="N/A",TRIM(Raw_Data!P45)="TBD",TRIM(Raw_Data!P45)="-"),"Not Assigned",PROPER(TRIM(Raw_Data!P45)))</f>
        <v>Central Ordnance Suppliers</v>
      </c>
      <c r="Q45" s="24">
        <f t="shared" si="0"/>
        <v>401446.2</v>
      </c>
      <c r="R45" s="17">
        <f t="shared" si="1"/>
        <v>18</v>
      </c>
      <c r="S45" s="17" t="str">
        <f>IF(COUNTIF($A$2:A45,A45)&gt;1,"Duplicate","Unique")</f>
        <v>Unique</v>
      </c>
      <c r="T45" s="17" t="str">
        <f t="shared" si="2"/>
        <v>No</v>
      </c>
      <c r="U45" s="17" t="str">
        <f t="shared" si="3"/>
        <v>No</v>
      </c>
      <c r="V45" s="17" t="str">
        <f t="shared" si="4"/>
        <v>Yes</v>
      </c>
      <c r="W45" s="17" t="str">
        <f t="shared" si="5"/>
        <v>Apr-2025</v>
      </c>
    </row>
    <row r="46" spans="1:23" x14ac:dyDescent="0.3">
      <c r="A46" s="17" t="str">
        <f>TRIM(Raw_Data!A46)</f>
        <v>REQ-2025-0045</v>
      </c>
      <c r="B46" s="22">
        <f>IF(Raw_Data!B46="","",IF(ISNUMBER(Raw_Data!B46),Raw_Data!B46,IF(ISNUMBER(SEARCH("/",Raw_Data!B46)),IFERROR(DATE(VALUE(RIGHT(Raw_Data!B46,4)),VALUE(MID(Raw_Data!B46,4,2)),VALUE(LEFT(Raw_Data!B46,2))),"Invalid Date"),IFERROR(DATEVALUE(Raw_Data!B46),"Invalid Date"))))</f>
        <v>45721</v>
      </c>
      <c r="C46" s="17" t="str">
        <f>IF(TRIM(Raw_Data!C46)="","",PROPER(TRIM(Raw_Data!C46)))</f>
        <v>Unit H - Air Defence</v>
      </c>
      <c r="D46" s="17" t="str">
        <f>IF(TRIM(Raw_Data!D46)="","Not Specified",IFERROR(INDEX(Lookup_Tables!$H$6:$H$12,MATCH(TRIM(Raw_Data!D46),Lookup_Tables!$G$6:$G$12,0)),"Unknown - Review"))</f>
        <v>Central</v>
      </c>
      <c r="E46" s="17" t="str">
        <f>IF(TRIM(Raw_Data!E46)="","Not Specified",IFERROR(INDEX(Lookup_Tables!$B$6:$B$18,MATCH(TRIM(Raw_Data!E46),Lookup_Tables!$A$6:$A$18,0)),"Unknown - Review"))</f>
        <v>Vehicle Spares</v>
      </c>
      <c r="F46" s="17" t="str">
        <f>IF(TRIM(Raw_Data!F46)="","",TRIM(Raw_Data!F46))</f>
        <v>Clutch Plate</v>
      </c>
      <c r="G46" s="17">
        <f>IF(Raw_Data!G46="","",IF(VALUE(Raw_Data!G46)&lt;=0,"Invalid",VALUE(Raw_Data!G46)))</f>
        <v>235</v>
      </c>
      <c r="H46" s="17">
        <f>IF(Raw_Data!H46="","",IF(VALUE(Raw_Data!H46)&lt;=0,"Invalid",VALUE(Raw_Data!H46)))</f>
        <v>195</v>
      </c>
      <c r="I46" s="23">
        <f>IFERROR(VALUE(SUBSTITUTE(SUBSTITUTE(Raw_Data!I46,"₹",""),",","")),"")</f>
        <v>42597</v>
      </c>
      <c r="J46" s="17" t="str">
        <f>IF(TRIM(Raw_Data!J46)="","Not Specified",PROPER(TRIM(Raw_Data!J46)))</f>
        <v>Medium</v>
      </c>
      <c r="K46" s="17" t="str">
        <f>IF(TRIM(Raw_Data!K46)="","Not Specified",IFERROR(INDEX(Lookup_Tables!$E$6:$E$13,MATCH(TRIM(Raw_Data!K46),Lookup_Tables!$D$6:$D$13,0)),"Unknown - Review"))</f>
        <v>Approved</v>
      </c>
      <c r="L46" s="17" t="str">
        <f>IF(TRIM(Raw_Data!L46)="","",PROPER(TRIM(Raw_Data!L46)))</f>
        <v>Stores Officer</v>
      </c>
      <c r="M46" s="22">
        <f>IF(Raw_Data!M46="","",IF(ISNUMBER(Raw_Data!M46),Raw_Data!M46,IF(ISNUMBER(SEARCH("/",Raw_Data!M46)),IFERROR(DATE(VALUE(RIGHT(Raw_Data!M46,4)),VALUE(MID(Raw_Data!M46,4,2)),VALUE(LEFT(Raw_Data!M46,2))),"Invalid Date"),IFERROR(DATEVALUE(Raw_Data!M46),"Invalid Date"))))</f>
        <v>45725</v>
      </c>
      <c r="N46" s="22">
        <f>IF(Raw_Data!N46="","",IF(ISNUMBER(Raw_Data!N46),Raw_Data!N46,IF(ISNUMBER(SEARCH("/",Raw_Data!N46)),IFERROR(DATE(VALUE(RIGHT(Raw_Data!N46,4)),VALUE(MID(Raw_Data!N46,4,2)),VALUE(LEFT(Raw_Data!N46,2))),"Invalid Date"),IFERROR(DATEVALUE(Raw_Data!N46),"Invalid Date"))))</f>
        <v>45744</v>
      </c>
      <c r="O46" s="22" t="str">
        <f>IF(Raw_Data!O46="","",IF(ISNUMBER(Raw_Data!O46),Raw_Data!O46,IF(ISNUMBER(SEARCH("/",Raw_Data!O46)),IFERROR(DATE(VALUE(RIGHT(Raw_Data!O46,4)),VALUE(MID(Raw_Data!O46,4,2)),VALUE(LEFT(Raw_Data!O46,2))),"Invalid Date"),IFERROR(DATEVALUE(Raw_Data!O46),"Invalid Date"))))</f>
        <v/>
      </c>
      <c r="P46" s="17" t="str">
        <f>IF(OR(TRIM(Raw_Data!P46)="",TRIM(Raw_Data!P46)="N/A",TRIM(Raw_Data!P46)="TBD",TRIM(Raw_Data!P46)="-"),"Not Assigned",PROPER(TRIM(Raw_Data!P46)))</f>
        <v>Om Suppliers</v>
      </c>
      <c r="Q46" s="24">
        <f t="shared" si="0"/>
        <v>8306415</v>
      </c>
      <c r="R46" s="17" t="str">
        <f t="shared" si="1"/>
        <v/>
      </c>
      <c r="S46" s="17" t="str">
        <f>IF(COUNTIF($A$2:A46,A46)&gt;1,"Duplicate","Unique")</f>
        <v>Unique</v>
      </c>
      <c r="T46" s="17" t="str">
        <f t="shared" si="2"/>
        <v>No</v>
      </c>
      <c r="U46" s="17" t="str">
        <f t="shared" si="3"/>
        <v>No</v>
      </c>
      <c r="V46" s="17" t="str">
        <f t="shared" si="4"/>
        <v>Yes</v>
      </c>
      <c r="W46" s="17" t="str">
        <f t="shared" si="5"/>
        <v>Mar-2025</v>
      </c>
    </row>
    <row r="47" spans="1:23" x14ac:dyDescent="0.3">
      <c r="A47" s="17" t="str">
        <f>TRIM(Raw_Data!A47)</f>
        <v>REQ-2025-0046</v>
      </c>
      <c r="B47" s="22" t="str">
        <f>IF(Raw_Data!B47="","",IF(ISNUMBER(Raw_Data!B47),Raw_Data!B47,IF(ISNUMBER(SEARCH("/",Raw_Data!B47)),IFERROR(DATE(VALUE(RIGHT(Raw_Data!B47,4)),VALUE(MID(Raw_Data!B47,4,2)),VALUE(LEFT(Raw_Data!B47,2))),"Invalid Date"),IFERROR(DATEVALUE(Raw_Data!B47),"Invalid Date"))))</f>
        <v/>
      </c>
      <c r="C47" s="17" t="str">
        <f>IF(TRIM(Raw_Data!C47)="","",PROPER(TRIM(Raw_Data!C47)))</f>
        <v>Unit H - Air Defence</v>
      </c>
      <c r="D47" s="17" t="str">
        <f>IF(TRIM(Raw_Data!D47)="","Not Specified",IFERROR(INDEX(Lookup_Tables!$H$6:$H$12,MATCH(TRIM(Raw_Data!D47),Lookup_Tables!$G$6:$G$12,0)),"Unknown - Review"))</f>
        <v>Eastern</v>
      </c>
      <c r="E47" s="17" t="str">
        <f>IF(TRIM(Raw_Data!E47)="","Not Specified",IFERROR(INDEX(Lookup_Tables!$B$6:$B$18,MATCH(TRIM(Raw_Data!E47),Lookup_Tables!$A$6:$A$18,0)),"Unknown - Review"))</f>
        <v>Rations</v>
      </c>
      <c r="F47" s="17" t="str">
        <f>IF(TRIM(Raw_Data!F47)="","",TRIM(Raw_Data!F47))</f>
        <v>Dry Ration Pack</v>
      </c>
      <c r="G47" s="17">
        <f>IF(Raw_Data!G47="","",IF(VALUE(Raw_Data!G47)&lt;=0,"Invalid",VALUE(Raw_Data!G47)))</f>
        <v>61</v>
      </c>
      <c r="H47" s="17">
        <f>IF(Raw_Data!H47="","",IF(VALUE(Raw_Data!H47)&lt;=0,"Invalid",VALUE(Raw_Data!H47)))</f>
        <v>44</v>
      </c>
      <c r="I47" s="23">
        <f>IFERROR(VALUE(SUBSTITUTE(SUBSTITUTE(Raw_Data!I47,"₹",""),",","")),"")</f>
        <v>10844</v>
      </c>
      <c r="J47" s="17" t="str">
        <f>IF(TRIM(Raw_Data!J47)="","Not Specified",PROPER(TRIM(Raw_Data!J47)))</f>
        <v>Medium</v>
      </c>
      <c r="K47" s="17" t="str">
        <f>IF(TRIM(Raw_Data!K47)="","Not Specified",IFERROR(INDEX(Lookup_Tables!$E$6:$E$13,MATCH(TRIM(Raw_Data!K47),Lookup_Tables!$D$6:$D$13,0)),"Unknown - Review"))</f>
        <v>Approved</v>
      </c>
      <c r="L47" s="17" t="str">
        <f>IF(TRIM(Raw_Data!L47)="","",PROPER(TRIM(Raw_Data!L47)))</f>
        <v>Unit Commander</v>
      </c>
      <c r="M47" s="22">
        <f>IF(Raw_Data!M47="","",IF(ISNUMBER(Raw_Data!M47),Raw_Data!M47,IF(ISNUMBER(SEARCH("/",Raw_Data!M47)),IFERROR(DATE(VALUE(RIGHT(Raw_Data!M47,4)),VALUE(MID(Raw_Data!M47,4,2)),VALUE(LEFT(Raw_Data!M47,2))),"Invalid Date"),IFERROR(DATEVALUE(Raw_Data!M47),"Invalid Date"))))</f>
        <v>45677</v>
      </c>
      <c r="N47" s="22" t="str">
        <f>IF(Raw_Data!N47="","",IF(ISNUMBER(Raw_Data!N47),Raw_Data!N47,IF(ISNUMBER(SEARCH("/",Raw_Data!N47)),IFERROR(DATE(VALUE(RIGHT(Raw_Data!N47,4)),VALUE(MID(Raw_Data!N47,4,2)),VALUE(LEFT(Raw_Data!N47,2))),"Invalid Date"),IFERROR(DATEVALUE(Raw_Data!N47),"Invalid Date"))))</f>
        <v/>
      </c>
      <c r="O47" s="22" t="str">
        <f>IF(Raw_Data!O47="","",IF(ISNUMBER(Raw_Data!O47),Raw_Data!O47,IF(ISNUMBER(SEARCH("/",Raw_Data!O47)),IFERROR(DATE(VALUE(RIGHT(Raw_Data!O47,4)),VALUE(MID(Raw_Data!O47,4,2)),VALUE(LEFT(Raw_Data!O47,2))),"Invalid Date"),IFERROR(DATEVALUE(Raw_Data!O47),"Invalid Date"))))</f>
        <v/>
      </c>
      <c r="P47" s="17" t="str">
        <f>IF(OR(TRIM(Raw_Data!P47)="",TRIM(Raw_Data!P47)="N/A",TRIM(Raw_Data!P47)="TBD",TRIM(Raw_Data!P47)="-"),"Not Assigned",PROPER(TRIM(Raw_Data!P47)))</f>
        <v>Sena Supply Co</v>
      </c>
      <c r="Q47" s="24">
        <f t="shared" si="0"/>
        <v>477136</v>
      </c>
      <c r="R47" s="17" t="str">
        <f t="shared" si="1"/>
        <v/>
      </c>
      <c r="S47" s="17" t="str">
        <f>IF(COUNTIF($A$2:A47,A47)&gt;1,"Duplicate","Unique")</f>
        <v>Unique</v>
      </c>
      <c r="T47" s="17" t="str">
        <f t="shared" si="2"/>
        <v>No</v>
      </c>
      <c r="U47" s="17" t="str">
        <f t="shared" si="3"/>
        <v>No</v>
      </c>
      <c r="V47" s="17" t="str">
        <f t="shared" si="4"/>
        <v>Yes</v>
      </c>
      <c r="W47" s="17" t="str">
        <f t="shared" si="5"/>
        <v/>
      </c>
    </row>
    <row r="48" spans="1:23" x14ac:dyDescent="0.3">
      <c r="A48" s="17" t="str">
        <f>TRIM(Raw_Data!A48)</f>
        <v>REQ-2025-0047</v>
      </c>
      <c r="B48" s="22">
        <f>IF(Raw_Data!B48="","",IF(ISNUMBER(Raw_Data!B48),Raw_Data!B48,IF(ISNUMBER(SEARCH("/",Raw_Data!B48)),IFERROR(DATE(VALUE(RIGHT(Raw_Data!B48,4)),VALUE(MID(Raw_Data!B48,4,2)),VALUE(LEFT(Raw_Data!B48,2))),"Invalid Date"),IFERROR(DATEVALUE(Raw_Data!B48),"Invalid Date"))))</f>
        <v>45983</v>
      </c>
      <c r="C48" s="17" t="str">
        <f>IF(TRIM(Raw_Data!C48)="","",PROPER(TRIM(Raw_Data!C48)))</f>
        <v>Unit A - Infantry</v>
      </c>
      <c r="D48" s="17" t="str">
        <f>IF(TRIM(Raw_Data!D48)="","Not Specified",IFERROR(INDEX(Lookup_Tables!$H$6:$H$12,MATCH(TRIM(Raw_Data!D48),Lookup_Tables!$G$6:$G$12,0)),"Unknown - Review"))</f>
        <v>Northern</v>
      </c>
      <c r="E48" s="17" t="str">
        <f>IF(TRIM(Raw_Data!E48)="","Not Specified",IFERROR(INDEX(Lookup_Tables!$B$6:$B$18,MATCH(TRIM(Raw_Data!E48),Lookup_Tables!$A$6:$A$18,0)),"Unknown - Review"))</f>
        <v>Office &amp; IT Equipment</v>
      </c>
      <c r="F48" s="17" t="str">
        <f>IF(TRIM(Raw_Data!F48)="","",TRIM(Raw_Data!F48))</f>
        <v>Desktop Computer</v>
      </c>
      <c r="G48" s="17" t="str">
        <f>IF(Raw_Data!G48="","",IF(VALUE(Raw_Data!G48)&lt;=0,"Invalid",VALUE(Raw_Data!G48)))</f>
        <v>Invalid</v>
      </c>
      <c r="H48" s="17" t="str">
        <f>IF(Raw_Data!H48="","",IF(VALUE(Raw_Data!H48)&lt;=0,"Invalid",VALUE(Raw_Data!H48)))</f>
        <v/>
      </c>
      <c r="I48" s="23">
        <f>IFERROR(VALUE(SUBSTITUTE(SUBSTITUTE(Raw_Data!I48,"₹",""),",","")),"")</f>
        <v>15614</v>
      </c>
      <c r="J48" s="17" t="str">
        <f>IF(TRIM(Raw_Data!J48)="","Not Specified",PROPER(TRIM(Raw_Data!J48)))</f>
        <v>Low</v>
      </c>
      <c r="K48" s="17" t="str">
        <f>IF(TRIM(Raw_Data!K48)="","Not Specified",IFERROR(INDEX(Lookup_Tables!$E$6:$E$13,MATCH(TRIM(Raw_Data!K48),Lookup_Tables!$D$6:$D$13,0)),"Unknown - Review"))</f>
        <v>Rejected</v>
      </c>
      <c r="L48" s="17" t="str">
        <f>IF(TRIM(Raw_Data!L48)="","",PROPER(TRIM(Raw_Data!L48)))</f>
        <v>Stores Officer</v>
      </c>
      <c r="M48" s="22" t="str">
        <f>IF(Raw_Data!M48="","",IF(ISNUMBER(Raw_Data!M48),Raw_Data!M48,IF(ISNUMBER(SEARCH("/",Raw_Data!M48)),IFERROR(DATE(VALUE(RIGHT(Raw_Data!M48,4)),VALUE(MID(Raw_Data!M48,4,2)),VALUE(LEFT(Raw_Data!M48,2))),"Invalid Date"),IFERROR(DATEVALUE(Raw_Data!M48),"Invalid Date"))))</f>
        <v/>
      </c>
      <c r="N48" s="22" t="str">
        <f>IF(Raw_Data!N48="","",IF(ISNUMBER(Raw_Data!N48),Raw_Data!N48,IF(ISNUMBER(SEARCH("/",Raw_Data!N48)),IFERROR(DATE(VALUE(RIGHT(Raw_Data!N48,4)),VALUE(MID(Raw_Data!N48,4,2)),VALUE(LEFT(Raw_Data!N48,2))),"Invalid Date"),IFERROR(DATEVALUE(Raw_Data!N48),"Invalid Date"))))</f>
        <v/>
      </c>
      <c r="O48" s="22" t="str">
        <f>IF(Raw_Data!O48="","",IF(ISNUMBER(Raw_Data!O48),Raw_Data!O48,IF(ISNUMBER(SEARCH("/",Raw_Data!O48)),IFERROR(DATE(VALUE(RIGHT(Raw_Data!O48,4)),VALUE(MID(Raw_Data!O48,4,2)),VALUE(LEFT(Raw_Data!O48,2))),"Invalid Date"),IFERROR(DATEVALUE(Raw_Data!O48),"Invalid Date"))))</f>
        <v/>
      </c>
      <c r="P48" s="17" t="str">
        <f>IF(OR(TRIM(Raw_Data!P48)="",TRIM(Raw_Data!P48)="N/A",TRIM(Raw_Data!P48)="TBD",TRIM(Raw_Data!P48)="-"),"Not Assigned",PROPER(TRIM(Raw_Data!P48)))</f>
        <v>Sena Supply Co</v>
      </c>
      <c r="Q48" s="24" t="str">
        <f t="shared" si="0"/>
        <v/>
      </c>
      <c r="R48" s="17" t="str">
        <f t="shared" si="1"/>
        <v/>
      </c>
      <c r="S48" s="17" t="str">
        <f>IF(COUNTIF($A$2:A48,A48)&gt;1,"Duplicate","Unique")</f>
        <v>Unique</v>
      </c>
      <c r="T48" s="17" t="str">
        <f t="shared" si="2"/>
        <v>No</v>
      </c>
      <c r="U48" s="17" t="str">
        <f t="shared" si="3"/>
        <v>No</v>
      </c>
      <c r="V48" s="17" t="str">
        <f t="shared" si="4"/>
        <v>No</v>
      </c>
      <c r="W48" s="17" t="str">
        <f t="shared" si="5"/>
        <v>Nov-2025</v>
      </c>
    </row>
    <row r="49" spans="1:23" x14ac:dyDescent="0.3">
      <c r="A49" s="17" t="str">
        <f>TRIM(Raw_Data!A49)</f>
        <v>REQ-2025-0048</v>
      </c>
      <c r="B49" s="22" t="str">
        <f>IF(Raw_Data!B49="","",IF(ISNUMBER(Raw_Data!B49),Raw_Data!B49,IF(ISNUMBER(SEARCH("/",Raw_Data!B49)),IFERROR(DATE(VALUE(RIGHT(Raw_Data!B49,4)),VALUE(MID(Raw_Data!B49,4,2)),VALUE(LEFT(Raw_Data!B49,2))),"Invalid Date"),IFERROR(DATEVALUE(Raw_Data!B49),"Invalid Date"))))</f>
        <v/>
      </c>
      <c r="C49" s="17" t="str">
        <f>IF(TRIM(Raw_Data!C49)="","",PROPER(TRIM(Raw_Data!C49)))</f>
        <v>Unit E - Medical Corps</v>
      </c>
      <c r="D49" s="17" t="str">
        <f>IF(TRIM(Raw_Data!D49)="","Not Specified",IFERROR(INDEX(Lookup_Tables!$H$6:$H$12,MATCH(TRIM(Raw_Data!D49),Lookup_Tables!$G$6:$G$12,0)),"Unknown - Review"))</f>
        <v>Central</v>
      </c>
      <c r="E49" s="17" t="str">
        <f>IF(TRIM(Raw_Data!E49)="","Not Specified",IFERROR(INDEX(Lookup_Tables!$B$6:$B$18,MATCH(TRIM(Raw_Data!E49),Lookup_Tables!$A$6:$A$18,0)),"Unknown - Review"))</f>
        <v>Medical Supplies</v>
      </c>
      <c r="F49" s="17" t="str">
        <f>IF(TRIM(Raw_Data!F49)="","",TRIM(Raw_Data!F49))</f>
        <v>First Aid Kit</v>
      </c>
      <c r="G49" s="17" t="str">
        <f>IF(Raw_Data!G49="","",IF(VALUE(Raw_Data!G49)&lt;=0,"Invalid",VALUE(Raw_Data!G49)))</f>
        <v>Invalid</v>
      </c>
      <c r="H49" s="17">
        <f>IF(Raw_Data!H49="","",IF(VALUE(Raw_Data!H49)&lt;=0,"Invalid",VALUE(Raw_Data!H49)))</f>
        <v>105</v>
      </c>
      <c r="I49" s="23">
        <f>IFERROR(VALUE(SUBSTITUTE(SUBSTITUTE(Raw_Data!I49,"₹",""),",","")),"")</f>
        <v>38816.910000000003</v>
      </c>
      <c r="J49" s="17" t="str">
        <f>IF(TRIM(Raw_Data!J49)="","Not Specified",PROPER(TRIM(Raw_Data!J49)))</f>
        <v>Routine</v>
      </c>
      <c r="K49" s="17" t="str">
        <f>IF(TRIM(Raw_Data!K49)="","Not Specified",IFERROR(INDEX(Lookup_Tables!$E$6:$E$13,MATCH(TRIM(Raw_Data!K49),Lookup_Tables!$D$6:$D$13,0)),"Unknown - Review"))</f>
        <v>Delivered</v>
      </c>
      <c r="L49" s="17" t="str">
        <f>IF(TRIM(Raw_Data!L49)="","",PROPER(TRIM(Raw_Data!L49)))</f>
        <v>Unit Commander</v>
      </c>
      <c r="M49" s="22" t="str">
        <f>IF(Raw_Data!M49="","",IF(ISNUMBER(Raw_Data!M49),Raw_Data!M49,IF(ISNUMBER(SEARCH("/",Raw_Data!M49)),IFERROR(DATE(VALUE(RIGHT(Raw_Data!M49,4)),VALUE(MID(Raw_Data!M49,4,2)),VALUE(LEFT(Raw_Data!M49,2))),"Invalid Date"),IFERROR(DATEVALUE(Raw_Data!M49),"Invalid Date"))))</f>
        <v/>
      </c>
      <c r="N49" s="22">
        <f>IF(Raw_Data!N49="","",IF(ISNUMBER(Raw_Data!N49),Raw_Data!N49,IF(ISNUMBER(SEARCH("/",Raw_Data!N49)),IFERROR(DATE(VALUE(RIGHT(Raw_Data!N49,4)),VALUE(MID(Raw_Data!N49,4,2)),VALUE(LEFT(Raw_Data!N49,2))),"Invalid Date"),IFERROR(DATEVALUE(Raw_Data!N49),"Invalid Date"))))</f>
        <v>45845</v>
      </c>
      <c r="O49" s="22">
        <f>IF(Raw_Data!O49="","",IF(ISNUMBER(Raw_Data!O49),Raw_Data!O49,IF(ISNUMBER(SEARCH("/",Raw_Data!O49)),IFERROR(DATE(VALUE(RIGHT(Raw_Data!O49,4)),VALUE(MID(Raw_Data!O49,4,2)),VALUE(LEFT(Raw_Data!O49,2))),"Invalid Date"),IFERROR(DATEVALUE(Raw_Data!O49),"Invalid Date"))))</f>
        <v>45850</v>
      </c>
      <c r="P49" s="17" t="str">
        <f>IF(OR(TRIM(Raw_Data!P49)="",TRIM(Raw_Data!P49)="N/A",TRIM(Raw_Data!P49)="TBD",TRIM(Raw_Data!P49)="-"),"Not Assigned",PROPER(TRIM(Raw_Data!P49)))</f>
        <v>Shakti Traders</v>
      </c>
      <c r="Q49" s="24">
        <f t="shared" si="0"/>
        <v>4075775.5500000003</v>
      </c>
      <c r="R49" s="17">
        <f t="shared" si="1"/>
        <v>5</v>
      </c>
      <c r="S49" s="17" t="str">
        <f>IF(COUNTIF($A$2:A49,A49)&gt;1,"Duplicate","Unique")</f>
        <v>Unique</v>
      </c>
      <c r="T49" s="17" t="str">
        <f t="shared" si="2"/>
        <v>No</v>
      </c>
      <c r="U49" s="17" t="str">
        <f t="shared" si="3"/>
        <v>No</v>
      </c>
      <c r="V49" s="17" t="str">
        <f t="shared" si="4"/>
        <v>No</v>
      </c>
      <c r="W49" s="17" t="str">
        <f t="shared" si="5"/>
        <v/>
      </c>
    </row>
    <row r="50" spans="1:23" x14ac:dyDescent="0.3">
      <c r="A50" s="17" t="str">
        <f>TRIM(Raw_Data!A50)</f>
        <v>REQ-2025-0049</v>
      </c>
      <c r="B50" s="22">
        <f>IF(Raw_Data!B50="","",IF(ISNUMBER(Raw_Data!B50),Raw_Data!B50,IF(ISNUMBER(SEARCH("/",Raw_Data!B50)),IFERROR(DATE(VALUE(RIGHT(Raw_Data!B50,4)),VALUE(MID(Raw_Data!B50,4,2)),VALUE(LEFT(Raw_Data!B50,2))),"Invalid Date"),IFERROR(DATEVALUE(Raw_Data!B50),"Invalid Date"))))</f>
        <v>45886</v>
      </c>
      <c r="C50" s="17" t="str">
        <f>IF(TRIM(Raw_Data!C50)="","",PROPER(TRIM(Raw_Data!C50)))</f>
        <v>Unit B - Artillery</v>
      </c>
      <c r="D50" s="17" t="str">
        <f>IF(TRIM(Raw_Data!D50)="","Not Specified",IFERROR(INDEX(Lookup_Tables!$H$6:$H$12,MATCH(TRIM(Raw_Data!D50),Lookup_Tables!$G$6:$G$12,0)),"Unknown - Review"))</f>
        <v>Southern</v>
      </c>
      <c r="E50" s="17" t="str">
        <f>IF(TRIM(Raw_Data!E50)="","Not Specified",IFERROR(INDEX(Lookup_Tables!$B$6:$B$18,MATCH(TRIM(Raw_Data!E50),Lookup_Tables!$A$6:$A$18,0)),"Unknown - Review"))</f>
        <v>Communication Equipment</v>
      </c>
      <c r="F50" s="17" t="str">
        <f>IF(TRIM(Raw_Data!F50)="","",TRIM(Raw_Data!F50))</f>
        <v>Battery Pack (Radio)</v>
      </c>
      <c r="G50" s="17">
        <f>IF(Raw_Data!G50="","",IF(VALUE(Raw_Data!G50)&lt;=0,"Invalid",VALUE(Raw_Data!G50)))</f>
        <v>358</v>
      </c>
      <c r="H50" s="17">
        <f>IF(Raw_Data!H50="","",IF(VALUE(Raw_Data!H50)&lt;=0,"Invalid",VALUE(Raw_Data!H50)))</f>
        <v>328</v>
      </c>
      <c r="I50" s="23">
        <f>IFERROR(VALUE(SUBSTITUTE(SUBSTITUTE(Raw_Data!I50,"₹",""),",","")),"")</f>
        <v>41035.58</v>
      </c>
      <c r="J50" s="17" t="str">
        <f>IF(TRIM(Raw_Data!J50)="","Not Specified",PROPER(TRIM(Raw_Data!J50)))</f>
        <v>Routine</v>
      </c>
      <c r="K50" s="17" t="str">
        <f>IF(TRIM(Raw_Data!K50)="","Not Specified",IFERROR(INDEX(Lookup_Tables!$E$6:$E$13,MATCH(TRIM(Raw_Data!K50),Lookup_Tables!$D$6:$D$13,0)),"Unknown - Review"))</f>
        <v>Dispatched</v>
      </c>
      <c r="L50" s="17" t="str">
        <f>IF(TRIM(Raw_Data!L50)="","",PROPER(TRIM(Raw_Data!L50)))</f>
        <v>Logistics Officer</v>
      </c>
      <c r="M50" s="22">
        <f>IF(Raw_Data!M50="","",IF(ISNUMBER(Raw_Data!M50),Raw_Data!M50,IF(ISNUMBER(SEARCH("/",Raw_Data!M50)),IFERROR(DATE(VALUE(RIGHT(Raw_Data!M50,4)),VALUE(MID(Raw_Data!M50,4,2)),VALUE(LEFT(Raw_Data!M50,2))),"Invalid Date"),IFERROR(DATEVALUE(Raw_Data!M50),"Invalid Date"))))</f>
        <v>45896</v>
      </c>
      <c r="N50" s="22">
        <f>IF(Raw_Data!N50="","",IF(ISNUMBER(Raw_Data!N50),Raw_Data!N50,IF(ISNUMBER(SEARCH("/",Raw_Data!N50)),IFERROR(DATE(VALUE(RIGHT(Raw_Data!N50,4)),VALUE(MID(Raw_Data!N50,4,2)),VALUE(LEFT(Raw_Data!N50,2))),"Invalid Date"),IFERROR(DATEVALUE(Raw_Data!N50),"Invalid Date"))))</f>
        <v>45914</v>
      </c>
      <c r="O50" s="22" t="str">
        <f>IF(Raw_Data!O50="","",IF(ISNUMBER(Raw_Data!O50),Raw_Data!O50,IF(ISNUMBER(SEARCH("/",Raw_Data!O50)),IFERROR(DATE(VALUE(RIGHT(Raw_Data!O50,4)),VALUE(MID(Raw_Data!O50,4,2)),VALUE(LEFT(Raw_Data!O50,2))),"Invalid Date"),IFERROR(DATEVALUE(Raw_Data!O50),"Invalid Date"))))</f>
        <v/>
      </c>
      <c r="P50" s="17" t="str">
        <f>IF(OR(TRIM(Raw_Data!P50)="",TRIM(Raw_Data!P50)="N/A",TRIM(Raw_Data!P50)="TBD",TRIM(Raw_Data!P50)="-"),"Not Assigned",PROPER(TRIM(Raw_Data!P50)))</f>
        <v>Shakti Traders</v>
      </c>
      <c r="Q50" s="24">
        <f t="shared" si="0"/>
        <v>13459670.24</v>
      </c>
      <c r="R50" s="17" t="str">
        <f t="shared" si="1"/>
        <v/>
      </c>
      <c r="S50" s="17" t="str">
        <f>IF(COUNTIF($A$2:A50,A50)&gt;1,"Duplicate","Unique")</f>
        <v>Unique</v>
      </c>
      <c r="T50" s="17" t="str">
        <f t="shared" si="2"/>
        <v>No</v>
      </c>
      <c r="U50" s="17" t="str">
        <f t="shared" si="3"/>
        <v>No</v>
      </c>
      <c r="V50" s="17" t="str">
        <f t="shared" si="4"/>
        <v>Yes</v>
      </c>
      <c r="W50" s="17" t="str">
        <f t="shared" si="5"/>
        <v>Aug-2025</v>
      </c>
    </row>
    <row r="51" spans="1:23" x14ac:dyDescent="0.3">
      <c r="A51" s="17" t="str">
        <f>TRIM(Raw_Data!A51)</f>
        <v>REQ-2025-0050</v>
      </c>
      <c r="B51" s="22">
        <f>IF(Raw_Data!B51="","",IF(ISNUMBER(Raw_Data!B51),Raw_Data!B51,IF(ISNUMBER(SEARCH("/",Raw_Data!B51)),IFERROR(DATE(VALUE(RIGHT(Raw_Data!B51,4)),VALUE(MID(Raw_Data!B51,4,2)),VALUE(LEFT(Raw_Data!B51,2))),"Invalid Date"),IFERROR(DATEVALUE(Raw_Data!B51),"Invalid Date"))))</f>
        <v>45885</v>
      </c>
      <c r="C51" s="17" t="str">
        <f>IF(TRIM(Raw_Data!C51)="","",PROPER(TRIM(Raw_Data!C51)))</f>
        <v>Unit C - Engineers</v>
      </c>
      <c r="D51" s="17" t="str">
        <f>IF(TRIM(Raw_Data!D51)="","Not Specified",IFERROR(INDEX(Lookup_Tables!$H$6:$H$12,MATCH(TRIM(Raw_Data!D51),Lookup_Tables!$G$6:$G$12,0)),"Unknown - Review"))</f>
        <v>Eastern</v>
      </c>
      <c r="E51" s="17" t="str">
        <f>IF(TRIM(Raw_Data!E51)="","Not Specified",IFERROR(INDEX(Lookup_Tables!$B$6:$B$18,MATCH(TRIM(Raw_Data!E51),Lookup_Tables!$A$6:$A$18,0)),"Unknown - Review"))</f>
        <v>Fuel &amp; Lubricants</v>
      </c>
      <c r="F51" s="17" t="str">
        <f>IF(TRIM(Raw_Data!F51)="","",TRIM(Raw_Data!F51))</f>
        <v>Engine Grease (5kg)</v>
      </c>
      <c r="G51" s="17">
        <f>IF(Raw_Data!G51="","",IF(VALUE(Raw_Data!G51)&lt;=0,"Invalid",VALUE(Raw_Data!G51)))</f>
        <v>208</v>
      </c>
      <c r="H51" s="17">
        <f>IF(Raw_Data!H51="","",IF(VALUE(Raw_Data!H51)&lt;=0,"Invalid",VALUE(Raw_Data!H51)))</f>
        <v>205</v>
      </c>
      <c r="I51" s="23">
        <f>IFERROR(VALUE(SUBSTITUTE(SUBSTITUTE(Raw_Data!I51,"₹",""),",","")),"")</f>
        <v>1312.21</v>
      </c>
      <c r="J51" s="17" t="str">
        <f>IF(TRIM(Raw_Data!J51)="","Not Specified",PROPER(TRIM(Raw_Data!J51)))</f>
        <v>Medium</v>
      </c>
      <c r="K51" s="17" t="str">
        <f>IF(TRIM(Raw_Data!K51)="","Not Specified",IFERROR(INDEX(Lookup_Tables!$E$6:$E$13,MATCH(TRIM(Raw_Data!K51),Lookup_Tables!$D$6:$D$13,0)),"Unknown - Review"))</f>
        <v>Delivered</v>
      </c>
      <c r="L51" s="17" t="str">
        <f>IF(TRIM(Raw_Data!L51)="","",PROPER(TRIM(Raw_Data!L51)))</f>
        <v>Stores Officer</v>
      </c>
      <c r="M51" s="22">
        <f>IF(Raw_Data!M51="","",IF(ISNUMBER(Raw_Data!M51),Raw_Data!M51,IF(ISNUMBER(SEARCH("/",Raw_Data!M51)),IFERROR(DATE(VALUE(RIGHT(Raw_Data!M51,4)),VALUE(MID(Raw_Data!M51,4,2)),VALUE(LEFT(Raw_Data!M51,2))),"Invalid Date"),IFERROR(DATEVALUE(Raw_Data!M51),"Invalid Date"))))</f>
        <v>45888</v>
      </c>
      <c r="N51" s="22" t="str">
        <f>IF(Raw_Data!N51="","",IF(ISNUMBER(Raw_Data!N51),Raw_Data!N51,IF(ISNUMBER(SEARCH("/",Raw_Data!N51)),IFERROR(DATE(VALUE(RIGHT(Raw_Data!N51,4)),VALUE(MID(Raw_Data!N51,4,2)),VALUE(LEFT(Raw_Data!N51,2))),"Invalid Date"),IFERROR(DATEVALUE(Raw_Data!N51),"Invalid Date"))))</f>
        <v/>
      </c>
      <c r="O51" s="22">
        <f>IF(Raw_Data!O51="","",IF(ISNUMBER(Raw_Data!O51),Raw_Data!O51,IF(ISNUMBER(SEARCH("/",Raw_Data!O51)),IFERROR(DATE(VALUE(RIGHT(Raw_Data!O51,4)),VALUE(MID(Raw_Data!O51,4,2)),VALUE(LEFT(Raw_Data!O51,2))),"Invalid Date"),IFERROR(DATEVALUE(Raw_Data!O51),"Invalid Date"))))</f>
        <v>45919</v>
      </c>
      <c r="P51" s="17" t="str">
        <f>IF(OR(TRIM(Raw_Data!P51)="",TRIM(Raw_Data!P51)="N/A",TRIM(Raw_Data!P51)="TBD",TRIM(Raw_Data!P51)="-"),"Not Assigned",PROPER(TRIM(Raw_Data!P51)))</f>
        <v>Rapid Vendors Ltd</v>
      </c>
      <c r="Q51" s="24">
        <f t="shared" si="0"/>
        <v>269003.05</v>
      </c>
      <c r="R51" s="17" t="str">
        <f t="shared" si="1"/>
        <v/>
      </c>
      <c r="S51" s="17" t="str">
        <f>IF(COUNTIF($A$2:A51,A51)&gt;1,"Duplicate","Unique")</f>
        <v>Unique</v>
      </c>
      <c r="T51" s="17" t="str">
        <f t="shared" si="2"/>
        <v>No</v>
      </c>
      <c r="U51" s="17" t="str">
        <f t="shared" si="3"/>
        <v>No</v>
      </c>
      <c r="V51" s="17" t="str">
        <f t="shared" si="4"/>
        <v>Yes</v>
      </c>
      <c r="W51" s="17" t="str">
        <f t="shared" si="5"/>
        <v>Aug-2025</v>
      </c>
    </row>
    <row r="52" spans="1:23" x14ac:dyDescent="0.3">
      <c r="A52" s="17" t="str">
        <f>TRIM(Raw_Data!A52)</f>
        <v>REQ-2025-0051</v>
      </c>
      <c r="B52" s="22">
        <f>IF(Raw_Data!B52="","",IF(ISNUMBER(Raw_Data!B52),Raw_Data!B52,IF(ISNUMBER(SEARCH("/",Raw_Data!B52)),IFERROR(DATE(VALUE(RIGHT(Raw_Data!B52,4)),VALUE(MID(Raw_Data!B52,4,2)),VALUE(LEFT(Raw_Data!B52,2))),"Invalid Date"),IFERROR(DATEVALUE(Raw_Data!B52),"Invalid Date"))))</f>
        <v>45806</v>
      </c>
      <c r="C52" s="17" t="str">
        <f>IF(TRIM(Raw_Data!C52)="","",PROPER(TRIM(Raw_Data!C52)))</f>
        <v>Unit F - Ordnance Depot</v>
      </c>
      <c r="D52" s="17" t="str">
        <f>IF(TRIM(Raw_Data!D52)="","Not Specified",IFERROR(INDEX(Lookup_Tables!$H$6:$H$12,MATCH(TRIM(Raw_Data!D52),Lookup_Tables!$G$6:$G$12,0)),"Unknown - Review"))</f>
        <v>Northern</v>
      </c>
      <c r="E52" s="17" t="str">
        <f>IF(TRIM(Raw_Data!E52)="","Not Specified",IFERROR(INDEX(Lookup_Tables!$B$6:$B$18,MATCH(TRIM(Raw_Data!E52),Lookup_Tables!$A$6:$A$18,0)),"Unknown - Review"))</f>
        <v>Tents &amp; Shelter</v>
      </c>
      <c r="F52" s="17" t="str">
        <f>IF(TRIM(Raw_Data!F52)="","",TRIM(Raw_Data!F52))</f>
        <v>Ground Sheet</v>
      </c>
      <c r="G52" s="17">
        <f>IF(Raw_Data!G52="","",IF(VALUE(Raw_Data!G52)&lt;=0,"Invalid",VALUE(Raw_Data!G52)))</f>
        <v>411</v>
      </c>
      <c r="H52" s="17">
        <f>IF(Raw_Data!H52="","",IF(VALUE(Raw_Data!H52)&lt;=0,"Invalid",VALUE(Raw_Data!H52)))</f>
        <v>409</v>
      </c>
      <c r="I52" s="23" t="str">
        <f>IFERROR(VALUE(SUBSTITUTE(SUBSTITUTE(Raw_Data!I52,"₹",""),",","")),"")</f>
        <v/>
      </c>
      <c r="J52" s="17" t="str">
        <f>IF(TRIM(Raw_Data!J52)="","Not Specified",PROPER(TRIM(Raw_Data!J52)))</f>
        <v>Medium</v>
      </c>
      <c r="K52" s="17" t="str">
        <f>IF(TRIM(Raw_Data!K52)="","Not Specified",IFERROR(INDEX(Lookup_Tables!$E$6:$E$13,MATCH(TRIM(Raw_Data!K52),Lookup_Tables!$D$6:$D$13,0)),"Unknown - Review"))</f>
        <v>Delivered</v>
      </c>
      <c r="L52" s="17" t="str">
        <f>IF(TRIM(Raw_Data!L52)="","",PROPER(TRIM(Raw_Data!L52)))</f>
        <v>Logistics Officer</v>
      </c>
      <c r="M52" s="22" t="str">
        <f>IF(Raw_Data!M52="","",IF(ISNUMBER(Raw_Data!M52),Raw_Data!M52,IF(ISNUMBER(SEARCH("/",Raw_Data!M52)),IFERROR(DATE(VALUE(RIGHT(Raw_Data!M52,4)),VALUE(MID(Raw_Data!M52,4,2)),VALUE(LEFT(Raw_Data!M52,2))),"Invalid Date"),IFERROR(DATEVALUE(Raw_Data!M52),"Invalid Date"))))</f>
        <v/>
      </c>
      <c r="N52" s="22">
        <f>IF(Raw_Data!N52="","",IF(ISNUMBER(Raw_Data!N52),Raw_Data!N52,IF(ISNUMBER(SEARCH("/",Raw_Data!N52)),IFERROR(DATE(VALUE(RIGHT(Raw_Data!N52,4)),VALUE(MID(Raw_Data!N52,4,2)),VALUE(LEFT(Raw_Data!N52,2))),"Invalid Date"),IFERROR(DATEVALUE(Raw_Data!N52),"Invalid Date"))))</f>
        <v>45840</v>
      </c>
      <c r="O52" s="22" t="str">
        <f>IF(Raw_Data!O52="","",IF(ISNUMBER(Raw_Data!O52),Raw_Data!O52,IF(ISNUMBER(SEARCH("/",Raw_Data!O52)),IFERROR(DATE(VALUE(RIGHT(Raw_Data!O52,4)),VALUE(MID(Raw_Data!O52,4,2)),VALUE(LEFT(Raw_Data!O52,2))),"Invalid Date"),IFERROR(DATEVALUE(Raw_Data!O52),"Invalid Date"))))</f>
        <v/>
      </c>
      <c r="P52" s="17" t="str">
        <f>IF(OR(TRIM(Raw_Data!P52)="",TRIM(Raw_Data!P52)="N/A",TRIM(Raw_Data!P52)="TBD",TRIM(Raw_Data!P52)="-"),"Not Assigned",PROPER(TRIM(Raw_Data!P52)))</f>
        <v>Bharat Logistics Pvt Ltd</v>
      </c>
      <c r="Q52" s="24" t="str">
        <f t="shared" si="0"/>
        <v/>
      </c>
      <c r="R52" s="17" t="str">
        <f t="shared" si="1"/>
        <v/>
      </c>
      <c r="S52" s="17" t="str">
        <f>IF(COUNTIF($A$2:A52,A52)&gt;1,"Duplicate","Unique")</f>
        <v>Unique</v>
      </c>
      <c r="T52" s="17" t="str">
        <f t="shared" si="2"/>
        <v>No</v>
      </c>
      <c r="U52" s="17" t="str">
        <f t="shared" si="3"/>
        <v>No</v>
      </c>
      <c r="V52" s="17" t="str">
        <f t="shared" si="4"/>
        <v>Yes</v>
      </c>
      <c r="W52" s="17" t="str">
        <f t="shared" si="5"/>
        <v>May-2025</v>
      </c>
    </row>
    <row r="53" spans="1:23" x14ac:dyDescent="0.3">
      <c r="A53" s="17" t="str">
        <f>TRIM(Raw_Data!A53)</f>
        <v>REQ-2025-0052</v>
      </c>
      <c r="B53" s="22">
        <f>IF(Raw_Data!B53="","",IF(ISNUMBER(Raw_Data!B53),Raw_Data!B53,IF(ISNUMBER(SEARCH("/",Raw_Data!B53)),IFERROR(DATE(VALUE(RIGHT(Raw_Data!B53,4)),VALUE(MID(Raw_Data!B53,4,2)),VALUE(LEFT(Raw_Data!B53,2))),"Invalid Date"),IFERROR(DATEVALUE(Raw_Data!B53),"Invalid Date"))))</f>
        <v>45879</v>
      </c>
      <c r="C53" s="17" t="str">
        <f>IF(TRIM(Raw_Data!C53)="","",PROPER(TRIM(Raw_Data!C53)))</f>
        <v>Unit C - Engineers</v>
      </c>
      <c r="D53" s="17" t="str">
        <f>IF(TRIM(Raw_Data!D53)="","Not Specified",IFERROR(INDEX(Lookup_Tables!$H$6:$H$12,MATCH(TRIM(Raw_Data!D53),Lookup_Tables!$G$6:$G$12,0)),"Unknown - Review"))</f>
        <v>Central</v>
      </c>
      <c r="E53" s="17" t="str">
        <f>IF(TRIM(Raw_Data!E53)="","Not Specified",IFERROR(INDEX(Lookup_Tables!$B$6:$B$18,MATCH(TRIM(Raw_Data!E53),Lookup_Tables!$A$6:$A$18,0)),"Unknown - Review"))</f>
        <v>Uniforms &amp; Clothing</v>
      </c>
      <c r="F53" s="17" t="str">
        <f>IF(TRIM(Raw_Data!F53)="","",TRIM(Raw_Data!F53))</f>
        <v>Winter Jacket</v>
      </c>
      <c r="G53" s="17">
        <f>IF(Raw_Data!G53="","",IF(VALUE(Raw_Data!G53)&lt;=0,"Invalid",VALUE(Raw_Data!G53)))</f>
        <v>270</v>
      </c>
      <c r="H53" s="17">
        <f>IF(Raw_Data!H53="","",IF(VALUE(Raw_Data!H53)&lt;=0,"Invalid",VALUE(Raw_Data!H53)))</f>
        <v>215</v>
      </c>
      <c r="I53" s="23">
        <f>IFERROR(VALUE(SUBSTITUTE(SUBSTITUTE(Raw_Data!I53,"₹",""),",","")),"")</f>
        <v>31963.55</v>
      </c>
      <c r="J53" s="17" t="str">
        <f>IF(TRIM(Raw_Data!J53)="","Not Specified",PROPER(TRIM(Raw_Data!J53)))</f>
        <v>High</v>
      </c>
      <c r="K53" s="17" t="str">
        <f>IF(TRIM(Raw_Data!K53)="","Not Specified",IFERROR(INDEX(Lookup_Tables!$E$6:$E$13,MATCH(TRIM(Raw_Data!K53),Lookup_Tables!$D$6:$D$13,0)),"Unknown - Review"))</f>
        <v>Dispatched</v>
      </c>
      <c r="L53" s="17" t="str">
        <f>IF(TRIM(Raw_Data!L53)="","",PROPER(TRIM(Raw_Data!L53)))</f>
        <v>Quartermaster</v>
      </c>
      <c r="M53" s="22">
        <f>IF(Raw_Data!M53="","",IF(ISNUMBER(Raw_Data!M53),Raw_Data!M53,IF(ISNUMBER(SEARCH("/",Raw_Data!M53)),IFERROR(DATE(VALUE(RIGHT(Raw_Data!M53,4)),VALUE(MID(Raw_Data!M53,4,2)),VALUE(LEFT(Raw_Data!M53,2))),"Invalid Date"),IFERROR(DATEVALUE(Raw_Data!M53),"Invalid Date"))))</f>
        <v>45885</v>
      </c>
      <c r="N53" s="22">
        <f>IF(Raw_Data!N53="","",IF(ISNUMBER(Raw_Data!N53),Raw_Data!N53,IF(ISNUMBER(SEARCH("/",Raw_Data!N53)),IFERROR(DATE(VALUE(RIGHT(Raw_Data!N53,4)),VALUE(MID(Raw_Data!N53,4,2)),VALUE(LEFT(Raw_Data!N53,2))),"Invalid Date"),IFERROR(DATEVALUE(Raw_Data!N53),"Invalid Date"))))</f>
        <v>45906</v>
      </c>
      <c r="O53" s="22" t="str">
        <f>IF(Raw_Data!O53="","",IF(ISNUMBER(Raw_Data!O53),Raw_Data!O53,IF(ISNUMBER(SEARCH("/",Raw_Data!O53)),IFERROR(DATE(VALUE(RIGHT(Raw_Data!O53,4)),VALUE(MID(Raw_Data!O53,4,2)),VALUE(LEFT(Raw_Data!O53,2))),"Invalid Date"),IFERROR(DATEVALUE(Raw_Data!O53),"Invalid Date"))))</f>
        <v/>
      </c>
      <c r="P53" s="17" t="str">
        <f>IF(OR(TRIM(Raw_Data!P53)="",TRIM(Raw_Data!P53)="N/A",TRIM(Raw_Data!P53)="TBD",TRIM(Raw_Data!P53)="-"),"Not Assigned",PROPER(TRIM(Raw_Data!P53)))</f>
        <v>Shakti Traders</v>
      </c>
      <c r="Q53" s="24">
        <f t="shared" si="0"/>
        <v>6872163.25</v>
      </c>
      <c r="R53" s="17" t="str">
        <f t="shared" si="1"/>
        <v/>
      </c>
      <c r="S53" s="17" t="str">
        <f>IF(COUNTIF($A$2:A53,A53)&gt;1,"Duplicate","Unique")</f>
        <v>Unique</v>
      </c>
      <c r="T53" s="17" t="str">
        <f t="shared" si="2"/>
        <v>No</v>
      </c>
      <c r="U53" s="17" t="str">
        <f t="shared" si="3"/>
        <v>No</v>
      </c>
      <c r="V53" s="17" t="str">
        <f t="shared" si="4"/>
        <v>Yes</v>
      </c>
      <c r="W53" s="17" t="str">
        <f t="shared" si="5"/>
        <v>Aug-2025</v>
      </c>
    </row>
    <row r="54" spans="1:23" x14ac:dyDescent="0.3">
      <c r="A54" s="17" t="str">
        <f>TRIM(Raw_Data!A54)</f>
        <v>REQ-2025-0053</v>
      </c>
      <c r="B54" s="22">
        <f>IF(Raw_Data!B54="","",IF(ISNUMBER(Raw_Data!B54),Raw_Data!B54,IF(ISNUMBER(SEARCH("/",Raw_Data!B54)),IFERROR(DATE(VALUE(RIGHT(Raw_Data!B54,4)),VALUE(MID(Raw_Data!B54,4,2)),VALUE(LEFT(Raw_Data!B54,2))),"Invalid Date"),IFERROR(DATEVALUE(Raw_Data!B54),"Invalid Date"))))</f>
        <v>45950</v>
      </c>
      <c r="C54" s="17" t="str">
        <f>IF(TRIM(Raw_Data!C54)="","",PROPER(TRIM(Raw_Data!C54)))</f>
        <v>Unit A - Infantry</v>
      </c>
      <c r="D54" s="17" t="str">
        <f>IF(TRIM(Raw_Data!D54)="","Not Specified",IFERROR(INDEX(Lookup_Tables!$H$6:$H$12,MATCH(TRIM(Raw_Data!D54),Lookup_Tables!$G$6:$G$12,0)),"Unknown - Review"))</f>
        <v>Northern</v>
      </c>
      <c r="E54" s="17" t="str">
        <f>IF(TRIM(Raw_Data!E54)="","Not Specified",IFERROR(INDEX(Lookup_Tables!$B$6:$B$18,MATCH(TRIM(Raw_Data!E54),Lookup_Tables!$A$6:$A$18,0)),"Unknown - Review"))</f>
        <v>Communication Equipment</v>
      </c>
      <c r="F54" s="17" t="str">
        <f>IF(TRIM(Raw_Data!F54)="","",TRIM(Raw_Data!F54))</f>
        <v>Signal Cable (100m)</v>
      </c>
      <c r="G54" s="17">
        <f>IF(Raw_Data!G54="","",IF(VALUE(Raw_Data!G54)&lt;=0,"Invalid",VALUE(Raw_Data!G54)))</f>
        <v>460</v>
      </c>
      <c r="H54" s="17" t="str">
        <f>IF(Raw_Data!H54="","",IF(VALUE(Raw_Data!H54)&lt;=0,"Invalid",VALUE(Raw_Data!H54)))</f>
        <v/>
      </c>
      <c r="I54" s="23">
        <f>IFERROR(VALUE(SUBSTITUTE(SUBSTITUTE(Raw_Data!I54,"₹",""),",","")),"")</f>
        <v>43055.76</v>
      </c>
      <c r="J54" s="17" t="str">
        <f>IF(TRIM(Raw_Data!J54)="","Not Specified",PROPER(TRIM(Raw_Data!J54)))</f>
        <v>High</v>
      </c>
      <c r="K54" s="17" t="str">
        <f>IF(TRIM(Raw_Data!K54)="","Not Specified",IFERROR(INDEX(Lookup_Tables!$E$6:$E$13,MATCH(TRIM(Raw_Data!K54),Lookup_Tables!$D$6:$D$13,0)),"Unknown - Review"))</f>
        <v>Rejected</v>
      </c>
      <c r="L54" s="17" t="str">
        <f>IF(TRIM(Raw_Data!L54)="","",PROPER(TRIM(Raw_Data!L54)))</f>
        <v>Unit Commander</v>
      </c>
      <c r="M54" s="22" t="str">
        <f>IF(Raw_Data!M54="","",IF(ISNUMBER(Raw_Data!M54),Raw_Data!M54,IF(ISNUMBER(SEARCH("/",Raw_Data!M54)),IFERROR(DATE(VALUE(RIGHT(Raw_Data!M54,4)),VALUE(MID(Raw_Data!M54,4,2)),VALUE(LEFT(Raw_Data!M54,2))),"Invalid Date"),IFERROR(DATEVALUE(Raw_Data!M54),"Invalid Date"))))</f>
        <v/>
      </c>
      <c r="N54" s="22" t="str">
        <f>IF(Raw_Data!N54="","",IF(ISNUMBER(Raw_Data!N54),Raw_Data!N54,IF(ISNUMBER(SEARCH("/",Raw_Data!N54)),IFERROR(DATE(VALUE(RIGHT(Raw_Data!N54,4)),VALUE(MID(Raw_Data!N54,4,2)),VALUE(LEFT(Raw_Data!N54,2))),"Invalid Date"),IFERROR(DATEVALUE(Raw_Data!N54),"Invalid Date"))))</f>
        <v/>
      </c>
      <c r="O54" s="22" t="str">
        <f>IF(Raw_Data!O54="","",IF(ISNUMBER(Raw_Data!O54),Raw_Data!O54,IF(ISNUMBER(SEARCH("/",Raw_Data!O54)),IFERROR(DATE(VALUE(RIGHT(Raw_Data!O54,4)),VALUE(MID(Raw_Data!O54,4,2)),VALUE(LEFT(Raw_Data!O54,2))),"Invalid Date"),IFERROR(DATEVALUE(Raw_Data!O54),"Invalid Date"))))</f>
        <v/>
      </c>
      <c r="P54" s="17" t="str">
        <f>IF(OR(TRIM(Raw_Data!P54)="",TRIM(Raw_Data!P54)="N/A",TRIM(Raw_Data!P54)="TBD",TRIM(Raw_Data!P54)="-"),"Not Assigned",PROPER(TRIM(Raw_Data!P54)))</f>
        <v>Central Ordnance Suppliers</v>
      </c>
      <c r="Q54" s="24" t="str">
        <f t="shared" si="0"/>
        <v/>
      </c>
      <c r="R54" s="17" t="str">
        <f t="shared" si="1"/>
        <v/>
      </c>
      <c r="S54" s="17" t="str">
        <f>IF(COUNTIF($A$2:A54,A54)&gt;1,"Duplicate","Unique")</f>
        <v>Unique</v>
      </c>
      <c r="T54" s="17" t="str">
        <f t="shared" si="2"/>
        <v>No</v>
      </c>
      <c r="U54" s="17" t="str">
        <f t="shared" si="3"/>
        <v>No</v>
      </c>
      <c r="V54" s="17" t="str">
        <f t="shared" si="4"/>
        <v>Yes</v>
      </c>
      <c r="W54" s="17" t="str">
        <f t="shared" si="5"/>
        <v>Oct-2025</v>
      </c>
    </row>
    <row r="55" spans="1:23" x14ac:dyDescent="0.3">
      <c r="A55" s="17" t="str">
        <f>TRIM(Raw_Data!A55)</f>
        <v>REQ-2025-0054</v>
      </c>
      <c r="B55" s="22">
        <f>IF(Raw_Data!B55="","",IF(ISNUMBER(Raw_Data!B55),Raw_Data!B55,IF(ISNUMBER(SEARCH("/",Raw_Data!B55)),IFERROR(DATE(VALUE(RIGHT(Raw_Data!B55,4)),VALUE(MID(Raw_Data!B55,4,2)),VALUE(LEFT(Raw_Data!B55,2))),"Invalid Date"),IFERROR(DATEVALUE(Raw_Data!B55),"Invalid Date"))))</f>
        <v>45781</v>
      </c>
      <c r="C55" s="17" t="str">
        <f>IF(TRIM(Raw_Data!C55)="","",PROPER(TRIM(Raw_Data!C55)))</f>
        <v>Unit F - Ordnance Depot</v>
      </c>
      <c r="D55" s="17" t="str">
        <f>IF(TRIM(Raw_Data!D55)="","Not Specified",IFERROR(INDEX(Lookup_Tables!$H$6:$H$12,MATCH(TRIM(Raw_Data!D55),Lookup_Tables!$G$6:$G$12,0)),"Unknown - Review"))</f>
        <v>Northern</v>
      </c>
      <c r="E55" s="17" t="str">
        <f>IF(TRIM(Raw_Data!E55)="","Not Specified",IFERROR(INDEX(Lookup_Tables!$B$6:$B$18,MATCH(TRIM(Raw_Data!E55),Lookup_Tables!$A$6:$A$18,0)),"Unknown - Review"))</f>
        <v>Vehicle Spares</v>
      </c>
      <c r="F55" s="17" t="str">
        <f>IF(TRIM(Raw_Data!F55)="","",TRIM(Raw_Data!F55))</f>
        <v>Engine Oil Filter</v>
      </c>
      <c r="G55" s="17">
        <f>IF(Raw_Data!G55="","",IF(VALUE(Raw_Data!G55)&lt;=0,"Invalid",VALUE(Raw_Data!G55)))</f>
        <v>131</v>
      </c>
      <c r="H55" s="17">
        <f>IF(Raw_Data!H55="","",IF(VALUE(Raw_Data!H55)&lt;=0,"Invalid",VALUE(Raw_Data!H55)))</f>
        <v>181</v>
      </c>
      <c r="I55" s="23">
        <f>IFERROR(VALUE(SUBSTITUTE(SUBSTITUTE(Raw_Data!I55,"₹",""),",","")),"")</f>
        <v>38907.75</v>
      </c>
      <c r="J55" s="17" t="str">
        <f>IF(TRIM(Raw_Data!J55)="","Not Specified",PROPER(TRIM(Raw_Data!J55)))</f>
        <v>Low</v>
      </c>
      <c r="K55" s="17" t="str">
        <f>IF(TRIM(Raw_Data!K55)="","Not Specified",IFERROR(INDEX(Lookup_Tables!$E$6:$E$13,MATCH(TRIM(Raw_Data!K55),Lookup_Tables!$D$6:$D$13,0)),"Unknown - Review"))</f>
        <v>Dispatched</v>
      </c>
      <c r="L55" s="17" t="str">
        <f>IF(TRIM(Raw_Data!L55)="","",PROPER(TRIM(Raw_Data!L55)))</f>
        <v>Unit Commander</v>
      </c>
      <c r="M55" s="22">
        <f>IF(Raw_Data!M55="","",IF(ISNUMBER(Raw_Data!M55),Raw_Data!M55,IF(ISNUMBER(SEARCH("/",Raw_Data!M55)),IFERROR(DATE(VALUE(RIGHT(Raw_Data!M55,4)),VALUE(MID(Raw_Data!M55,4,2)),VALUE(LEFT(Raw_Data!M55,2))),"Invalid Date"),IFERROR(DATEVALUE(Raw_Data!M55),"Invalid Date"))))</f>
        <v>45788</v>
      </c>
      <c r="N55" s="22" t="str">
        <f>IF(Raw_Data!N55="","",IF(ISNUMBER(Raw_Data!N55),Raw_Data!N55,IF(ISNUMBER(SEARCH("/",Raw_Data!N55)),IFERROR(DATE(VALUE(RIGHT(Raw_Data!N55,4)),VALUE(MID(Raw_Data!N55,4,2)),VALUE(LEFT(Raw_Data!N55,2))),"Invalid Date"),IFERROR(DATEVALUE(Raw_Data!N55),"Invalid Date"))))</f>
        <v/>
      </c>
      <c r="O55" s="22" t="str">
        <f>IF(Raw_Data!O55="","",IF(ISNUMBER(Raw_Data!O55),Raw_Data!O55,IF(ISNUMBER(SEARCH("/",Raw_Data!O55)),IFERROR(DATE(VALUE(RIGHT(Raw_Data!O55,4)),VALUE(MID(Raw_Data!O55,4,2)),VALUE(LEFT(Raw_Data!O55,2))),"Invalid Date"),IFERROR(DATEVALUE(Raw_Data!O55),"Invalid Date"))))</f>
        <v/>
      </c>
      <c r="P55" s="17" t="str">
        <f>IF(OR(TRIM(Raw_Data!P55)="",TRIM(Raw_Data!P55)="N/A",TRIM(Raw_Data!P55)="TBD",TRIM(Raw_Data!P55)="-"),"Not Assigned",PROPER(TRIM(Raw_Data!P55)))</f>
        <v>National Defence Stores</v>
      </c>
      <c r="Q55" s="24">
        <f t="shared" si="0"/>
        <v>7042302.75</v>
      </c>
      <c r="R55" s="17" t="str">
        <f t="shared" si="1"/>
        <v/>
      </c>
      <c r="S55" s="17" t="str">
        <f>IF(COUNTIF($A$2:A55,A55)&gt;1,"Duplicate","Unique")</f>
        <v>Unique</v>
      </c>
      <c r="T55" s="17" t="str">
        <f t="shared" si="2"/>
        <v>No</v>
      </c>
      <c r="U55" s="17" t="str">
        <f t="shared" si="3"/>
        <v>Yes</v>
      </c>
      <c r="V55" s="17" t="str">
        <f t="shared" si="4"/>
        <v>No</v>
      </c>
      <c r="W55" s="17" t="str">
        <f t="shared" si="5"/>
        <v>May-2025</v>
      </c>
    </row>
    <row r="56" spans="1:23" x14ac:dyDescent="0.3">
      <c r="A56" s="17" t="str">
        <f>TRIM(Raw_Data!A56)</f>
        <v>REQ-2025-0055</v>
      </c>
      <c r="B56" s="22">
        <f>IF(Raw_Data!B56="","",IF(ISNUMBER(Raw_Data!B56),Raw_Data!B56,IF(ISNUMBER(SEARCH("/",Raw_Data!B56)),IFERROR(DATE(VALUE(RIGHT(Raw_Data!B56,4)),VALUE(MID(Raw_Data!B56,4,2)),VALUE(LEFT(Raw_Data!B56,2))),"Invalid Date"),IFERROR(DATEVALUE(Raw_Data!B56),"Invalid Date"))))</f>
        <v>45878</v>
      </c>
      <c r="C56" s="17" t="str">
        <f>IF(TRIM(Raw_Data!C56)="","",PROPER(TRIM(Raw_Data!C56)))</f>
        <v>Unit H - Air Defence</v>
      </c>
      <c r="D56" s="17" t="str">
        <f>IF(TRIM(Raw_Data!D56)="","Not Specified",IFERROR(INDEX(Lookup_Tables!$H$6:$H$12,MATCH(TRIM(Raw_Data!D56),Lookup_Tables!$G$6:$G$12,0)),"Unknown - Review"))</f>
        <v>Eastern</v>
      </c>
      <c r="E56" s="17" t="str">
        <f>IF(TRIM(Raw_Data!E56)="","Not Specified",IFERROR(INDEX(Lookup_Tables!$B$6:$B$18,MATCH(TRIM(Raw_Data!E56),Lookup_Tables!$A$6:$A$18,0)),"Unknown - Review"))</f>
        <v>Rations</v>
      </c>
      <c r="F56" s="17" t="str">
        <f>IF(TRIM(Raw_Data!F56)="","",TRIM(Raw_Data!F56))</f>
        <v>Dry Ration Pack</v>
      </c>
      <c r="G56" s="17">
        <f>IF(Raw_Data!G56="","",IF(VALUE(Raw_Data!G56)&lt;=0,"Invalid",VALUE(Raw_Data!G56)))</f>
        <v>396</v>
      </c>
      <c r="H56" s="17" t="str">
        <f>IF(Raw_Data!H56="","",IF(VALUE(Raw_Data!H56)&lt;=0,"Invalid",VALUE(Raw_Data!H56)))</f>
        <v/>
      </c>
      <c r="I56" s="23">
        <f>IFERROR(VALUE(SUBSTITUTE(SUBSTITUTE(Raw_Data!I56,"₹",""),",","")),"")</f>
        <v>2179.12</v>
      </c>
      <c r="J56" s="17" t="str">
        <f>IF(TRIM(Raw_Data!J56)="","Not Specified",PROPER(TRIM(Raw_Data!J56)))</f>
        <v>Low</v>
      </c>
      <c r="K56" s="17" t="str">
        <f>IF(TRIM(Raw_Data!K56)="","Not Specified",IFERROR(INDEX(Lookup_Tables!$E$6:$E$13,MATCH(TRIM(Raw_Data!K56),Lookup_Tables!$D$6:$D$13,0)),"Unknown - Review"))</f>
        <v>Pending</v>
      </c>
      <c r="L56" s="17" t="str">
        <f>IF(TRIM(Raw_Data!L56)="","",PROPER(TRIM(Raw_Data!L56)))</f>
        <v>Stores Officer</v>
      </c>
      <c r="M56" s="22" t="str">
        <f>IF(Raw_Data!M56="","",IF(ISNUMBER(Raw_Data!M56),Raw_Data!M56,IF(ISNUMBER(SEARCH("/",Raw_Data!M56)),IFERROR(DATE(VALUE(RIGHT(Raw_Data!M56,4)),VALUE(MID(Raw_Data!M56,4,2)),VALUE(LEFT(Raw_Data!M56,2))),"Invalid Date"),IFERROR(DATEVALUE(Raw_Data!M56),"Invalid Date"))))</f>
        <v/>
      </c>
      <c r="N56" s="22" t="str">
        <f>IF(Raw_Data!N56="","",IF(ISNUMBER(Raw_Data!N56),Raw_Data!N56,IF(ISNUMBER(SEARCH("/",Raw_Data!N56)),IFERROR(DATE(VALUE(RIGHT(Raw_Data!N56,4)),VALUE(MID(Raw_Data!N56,4,2)),VALUE(LEFT(Raw_Data!N56,2))),"Invalid Date"),IFERROR(DATEVALUE(Raw_Data!N56),"Invalid Date"))))</f>
        <v/>
      </c>
      <c r="O56" s="22" t="str">
        <f>IF(Raw_Data!O56="","",IF(ISNUMBER(Raw_Data!O56),Raw_Data!O56,IF(ISNUMBER(SEARCH("/",Raw_Data!O56)),IFERROR(DATE(VALUE(RIGHT(Raw_Data!O56,4)),VALUE(MID(Raw_Data!O56,4,2)),VALUE(LEFT(Raw_Data!O56,2))),"Invalid Date"),IFERROR(DATEVALUE(Raw_Data!O56),"Invalid Date"))))</f>
        <v/>
      </c>
      <c r="P56" s="17" t="str">
        <f>IF(OR(TRIM(Raw_Data!P56)="",TRIM(Raw_Data!P56)="N/A",TRIM(Raw_Data!P56)="TBD",TRIM(Raw_Data!P56)="-"),"Not Assigned",PROPER(TRIM(Raw_Data!P56)))</f>
        <v>Vikram Enterprises</v>
      </c>
      <c r="Q56" s="24" t="str">
        <f t="shared" si="0"/>
        <v/>
      </c>
      <c r="R56" s="17" t="str">
        <f t="shared" si="1"/>
        <v/>
      </c>
      <c r="S56" s="17" t="str">
        <f>IF(COUNTIF($A$2:A56,A56)&gt;1,"Duplicate","Unique")</f>
        <v>Unique</v>
      </c>
      <c r="T56" s="17" t="str">
        <f t="shared" si="2"/>
        <v>No</v>
      </c>
      <c r="U56" s="17" t="str">
        <f t="shared" si="3"/>
        <v>No</v>
      </c>
      <c r="V56" s="17" t="str">
        <f t="shared" si="4"/>
        <v>Yes</v>
      </c>
      <c r="W56" s="17" t="str">
        <f t="shared" si="5"/>
        <v>Aug-2025</v>
      </c>
    </row>
    <row r="57" spans="1:23" x14ac:dyDescent="0.3">
      <c r="A57" s="17" t="str">
        <f>TRIM(Raw_Data!A57)</f>
        <v>REQ-2025-0056</v>
      </c>
      <c r="B57" s="22">
        <f>IF(Raw_Data!B57="","",IF(ISNUMBER(Raw_Data!B57),Raw_Data!B57,IF(ISNUMBER(SEARCH("/",Raw_Data!B57)),IFERROR(DATE(VALUE(RIGHT(Raw_Data!B57,4)),VALUE(MID(Raw_Data!B57,4,2)),VALUE(LEFT(Raw_Data!B57,2))),"Invalid Date"),IFERROR(DATEVALUE(Raw_Data!B57),"Invalid Date"))))</f>
        <v>45728</v>
      </c>
      <c r="C57" s="17" t="str">
        <f>IF(TRIM(Raw_Data!C57)="","",PROPER(TRIM(Raw_Data!C57)))</f>
        <v>Unit G - Transport Corps</v>
      </c>
      <c r="D57" s="17" t="str">
        <f>IF(TRIM(Raw_Data!D57)="","Not Specified",IFERROR(INDEX(Lookup_Tables!$H$6:$H$12,MATCH(TRIM(Raw_Data!D57),Lookup_Tables!$G$6:$G$12,0)),"Unknown - Review"))</f>
        <v>Southern</v>
      </c>
      <c r="E57" s="17" t="str">
        <f>IF(TRIM(Raw_Data!E57)="","Not Specified",IFERROR(INDEX(Lookup_Tables!$B$6:$B$18,MATCH(TRIM(Raw_Data!E57),Lookup_Tables!$A$6:$A$18,0)),"Unknown - Review"))</f>
        <v>Rations</v>
      </c>
      <c r="F57" s="17" t="str">
        <f>IF(TRIM(Raw_Data!F57)="","",TRIM(Raw_Data!F57))</f>
        <v>Dry Ration Pack</v>
      </c>
      <c r="G57" s="17">
        <f>IF(Raw_Data!G57="","",IF(VALUE(Raw_Data!G57)&lt;=0,"Invalid",VALUE(Raw_Data!G57)))</f>
        <v>81</v>
      </c>
      <c r="H57" s="17">
        <f>IF(Raw_Data!H57="","",IF(VALUE(Raw_Data!H57)&lt;=0,"Invalid",VALUE(Raw_Data!H57)))</f>
        <v>64</v>
      </c>
      <c r="I57" s="23" t="str">
        <f>IFERROR(VALUE(SUBSTITUTE(SUBSTITUTE(Raw_Data!I57,"₹",""),",","")),"")</f>
        <v/>
      </c>
      <c r="J57" s="17" t="str">
        <f>IF(TRIM(Raw_Data!J57)="","Not Specified",PROPER(TRIM(Raw_Data!J57)))</f>
        <v>Routine</v>
      </c>
      <c r="K57" s="17" t="str">
        <f>IF(TRIM(Raw_Data!K57)="","Not Specified",IFERROR(INDEX(Lookup_Tables!$E$6:$E$13,MATCH(TRIM(Raw_Data!K57),Lookup_Tables!$D$6:$D$13,0)),"Unknown - Review"))</f>
        <v>Delivered</v>
      </c>
      <c r="L57" s="17" t="str">
        <f>IF(TRIM(Raw_Data!L57)="","",PROPER(TRIM(Raw_Data!L57)))</f>
        <v>Unit Commander</v>
      </c>
      <c r="M57" s="22">
        <f>IF(Raw_Data!M57="","",IF(ISNUMBER(Raw_Data!M57),Raw_Data!M57,IF(ISNUMBER(SEARCH("/",Raw_Data!M57)),IFERROR(DATE(VALUE(RIGHT(Raw_Data!M57,4)),VALUE(MID(Raw_Data!M57,4,2)),VALUE(LEFT(Raw_Data!M57,2))),"Invalid Date"),IFERROR(DATEVALUE(Raw_Data!M57),"Invalid Date"))))</f>
        <v>45731</v>
      </c>
      <c r="N57" s="22">
        <f>IF(Raw_Data!N57="","",IF(ISNUMBER(Raw_Data!N57),Raw_Data!N57,IF(ISNUMBER(SEARCH("/",Raw_Data!N57)),IFERROR(DATE(VALUE(RIGHT(Raw_Data!N57,4)),VALUE(MID(Raw_Data!N57,4,2)),VALUE(LEFT(Raw_Data!N57,2))),"Invalid Date"),IFERROR(DATEVALUE(Raw_Data!N57),"Invalid Date"))))</f>
        <v>45748</v>
      </c>
      <c r="O57" s="22">
        <f>IF(Raw_Data!O57="","",IF(ISNUMBER(Raw_Data!O57),Raw_Data!O57,IF(ISNUMBER(SEARCH("/",Raw_Data!O57)),IFERROR(DATE(VALUE(RIGHT(Raw_Data!O57,4)),VALUE(MID(Raw_Data!O57,4,2)),VALUE(LEFT(Raw_Data!O57,2))),"Invalid Date"),IFERROR(DATEVALUE(Raw_Data!O57),"Invalid Date"))))</f>
        <v>45762</v>
      </c>
      <c r="P57" s="17" t="str">
        <f>IF(OR(TRIM(Raw_Data!P57)="",TRIM(Raw_Data!P57)="N/A",TRIM(Raw_Data!P57)="TBD",TRIM(Raw_Data!P57)="-"),"Not Assigned",PROPER(TRIM(Raw_Data!P57)))</f>
        <v>Shakti Traders</v>
      </c>
      <c r="Q57" s="24" t="str">
        <f t="shared" si="0"/>
        <v/>
      </c>
      <c r="R57" s="17">
        <f t="shared" si="1"/>
        <v>14</v>
      </c>
      <c r="S57" s="17" t="str">
        <f>IF(COUNTIF($A$2:A57,A57)&gt;1,"Duplicate","Unique")</f>
        <v>Unique</v>
      </c>
      <c r="T57" s="17" t="str">
        <f t="shared" si="2"/>
        <v>No</v>
      </c>
      <c r="U57" s="17" t="str">
        <f t="shared" si="3"/>
        <v>No</v>
      </c>
      <c r="V57" s="17" t="str">
        <f t="shared" si="4"/>
        <v>Yes</v>
      </c>
      <c r="W57" s="17" t="str">
        <f t="shared" si="5"/>
        <v>Mar-2025</v>
      </c>
    </row>
    <row r="58" spans="1:23" x14ac:dyDescent="0.3">
      <c r="A58" s="17" t="str">
        <f>TRIM(Raw_Data!A58)</f>
        <v>REQ-2025-0057</v>
      </c>
      <c r="B58" s="22">
        <f>IF(Raw_Data!B58="","",IF(ISNUMBER(Raw_Data!B58),Raw_Data!B58,IF(ISNUMBER(SEARCH("/",Raw_Data!B58)),IFERROR(DATE(VALUE(RIGHT(Raw_Data!B58,4)),VALUE(MID(Raw_Data!B58,4,2)),VALUE(LEFT(Raw_Data!B58,2))),"Invalid Date"),IFERROR(DATEVALUE(Raw_Data!B58),"Invalid Date"))))</f>
        <v>45926</v>
      </c>
      <c r="C58" s="17" t="str">
        <f>IF(TRIM(Raw_Data!C58)="","",PROPER(TRIM(Raw_Data!C58)))</f>
        <v>Unit D - Signals</v>
      </c>
      <c r="D58" s="17" t="str">
        <f>IF(TRIM(Raw_Data!D58)="","Not Specified",IFERROR(INDEX(Lookup_Tables!$H$6:$H$12,MATCH(TRIM(Raw_Data!D58),Lookup_Tables!$G$6:$G$12,0)),"Unknown - Review"))</f>
        <v>Western</v>
      </c>
      <c r="E58" s="17" t="str">
        <f>IF(TRIM(Raw_Data!E58)="","Not Specified",IFERROR(INDEX(Lookup_Tables!$B$6:$B$18,MATCH(TRIM(Raw_Data!E58),Lookup_Tables!$A$6:$A$18,0)),"Unknown - Review"))</f>
        <v>Office &amp; IT Equipment</v>
      </c>
      <c r="F58" s="17" t="str">
        <f>IF(TRIM(Raw_Data!F58)="","",TRIM(Raw_Data!F58))</f>
        <v>Laser Printer</v>
      </c>
      <c r="G58" s="17">
        <f>IF(Raw_Data!G58="","",IF(VALUE(Raw_Data!G58)&lt;=0,"Invalid",VALUE(Raw_Data!G58)))</f>
        <v>425</v>
      </c>
      <c r="H58" s="17">
        <f>IF(Raw_Data!H58="","",IF(VALUE(Raw_Data!H58)&lt;=0,"Invalid",VALUE(Raw_Data!H58)))</f>
        <v>588</v>
      </c>
      <c r="I58" s="23">
        <f>IFERROR(VALUE(SUBSTITUTE(SUBSTITUTE(Raw_Data!I58,"₹",""),",","")),"")</f>
        <v>5078.8100000000004</v>
      </c>
      <c r="J58" s="17" t="str">
        <f>IF(TRIM(Raw_Data!J58)="","Not Specified",PROPER(TRIM(Raw_Data!J58)))</f>
        <v>Routine</v>
      </c>
      <c r="K58" s="17" t="str">
        <f>IF(TRIM(Raw_Data!K58)="","Not Specified",IFERROR(INDEX(Lookup_Tables!$E$6:$E$13,MATCH(TRIM(Raw_Data!K58),Lookup_Tables!$D$6:$D$13,0)),"Unknown - Review"))</f>
        <v>Dispatched</v>
      </c>
      <c r="L58" s="17" t="str">
        <f>IF(TRIM(Raw_Data!L58)="","",PROPER(TRIM(Raw_Data!L58)))</f>
        <v>Logistics Officer</v>
      </c>
      <c r="M58" s="22">
        <f>IF(Raw_Data!M58="","",IF(ISNUMBER(Raw_Data!M58),Raw_Data!M58,IF(ISNUMBER(SEARCH("/",Raw_Data!M58)),IFERROR(DATE(VALUE(RIGHT(Raw_Data!M58,4)),VALUE(MID(Raw_Data!M58,4,2)),VALUE(LEFT(Raw_Data!M58,2))),"Invalid Date"),IFERROR(DATEVALUE(Raw_Data!M58),"Invalid Date"))))</f>
        <v>45927</v>
      </c>
      <c r="N58" s="22">
        <f>IF(Raw_Data!N58="","",IF(ISNUMBER(Raw_Data!N58),Raw_Data!N58,IF(ISNUMBER(SEARCH("/",Raw_Data!N58)),IFERROR(DATE(VALUE(RIGHT(Raw_Data!N58,4)),VALUE(MID(Raw_Data!N58,4,2)),VALUE(LEFT(Raw_Data!N58,2))),"Invalid Date"),IFERROR(DATEVALUE(Raw_Data!N58),"Invalid Date"))))</f>
        <v>45946</v>
      </c>
      <c r="O58" s="22" t="str">
        <f>IF(Raw_Data!O58="","",IF(ISNUMBER(Raw_Data!O58),Raw_Data!O58,IF(ISNUMBER(SEARCH("/",Raw_Data!O58)),IFERROR(DATE(VALUE(RIGHT(Raw_Data!O58,4)),VALUE(MID(Raw_Data!O58,4,2)),VALUE(LEFT(Raw_Data!O58,2))),"Invalid Date"),IFERROR(DATEVALUE(Raw_Data!O58),"Invalid Date"))))</f>
        <v/>
      </c>
      <c r="P58" s="17" t="str">
        <f>IF(OR(TRIM(Raw_Data!P58)="",TRIM(Raw_Data!P58)="N/A",TRIM(Raw_Data!P58)="TBD",TRIM(Raw_Data!P58)="-"),"Not Assigned",PROPER(TRIM(Raw_Data!P58)))</f>
        <v>Om Suppliers</v>
      </c>
      <c r="Q58" s="24">
        <f t="shared" si="0"/>
        <v>2986340.2800000003</v>
      </c>
      <c r="R58" s="17" t="str">
        <f t="shared" si="1"/>
        <v/>
      </c>
      <c r="S58" s="17" t="str">
        <f>IF(COUNTIF($A$2:A58,A58)&gt;1,"Duplicate","Unique")</f>
        <v>Unique</v>
      </c>
      <c r="T58" s="17" t="str">
        <f t="shared" si="2"/>
        <v>No</v>
      </c>
      <c r="U58" s="17" t="str">
        <f t="shared" si="3"/>
        <v>Yes</v>
      </c>
      <c r="V58" s="17" t="str">
        <f t="shared" si="4"/>
        <v>No</v>
      </c>
      <c r="W58" s="17" t="str">
        <f t="shared" si="5"/>
        <v>Sep-2025</v>
      </c>
    </row>
    <row r="59" spans="1:23" x14ac:dyDescent="0.3">
      <c r="A59" s="17" t="str">
        <f>TRIM(Raw_Data!A59)</f>
        <v>REQ-2025-0058</v>
      </c>
      <c r="B59" s="22">
        <f>IF(Raw_Data!B59="","",IF(ISNUMBER(Raw_Data!B59),Raw_Data!B59,IF(ISNUMBER(SEARCH("/",Raw_Data!B59)),IFERROR(DATE(VALUE(RIGHT(Raw_Data!B59,4)),VALUE(MID(Raw_Data!B59,4,2)),VALUE(LEFT(Raw_Data!B59,2))),"Invalid Date"),IFERROR(DATEVALUE(Raw_Data!B59),"Invalid Date"))))</f>
        <v>45905</v>
      </c>
      <c r="C59" s="17" t="str">
        <f>IF(TRIM(Raw_Data!C59)="","",PROPER(TRIM(Raw_Data!C59)))</f>
        <v>Unit F - Ordnance Depot</v>
      </c>
      <c r="D59" s="17" t="str">
        <f>IF(TRIM(Raw_Data!D59)="","Not Specified",IFERROR(INDEX(Lookup_Tables!$H$6:$H$12,MATCH(TRIM(Raw_Data!D59),Lookup_Tables!$G$6:$G$12,0)),"Unknown - Review"))</f>
        <v>Northern</v>
      </c>
      <c r="E59" s="17" t="str">
        <f>IF(TRIM(Raw_Data!E59)="","Not Specified",IFERROR(INDEX(Lookup_Tables!$B$6:$B$18,MATCH(TRIM(Raw_Data!E59),Lookup_Tables!$A$6:$A$18,0)),"Unknown - Review"))</f>
        <v>Communication Equipment</v>
      </c>
      <c r="F59" s="17" t="str">
        <f>IF(TRIM(Raw_Data!F59)="","",TRIM(Raw_Data!F59))</f>
        <v>Headset Set</v>
      </c>
      <c r="G59" s="17">
        <f>IF(Raw_Data!G59="","",IF(VALUE(Raw_Data!G59)&lt;=0,"Invalid",VALUE(Raw_Data!G59)))</f>
        <v>290</v>
      </c>
      <c r="H59" s="17">
        <f>IF(Raw_Data!H59="","",IF(VALUE(Raw_Data!H59)&lt;=0,"Invalid",VALUE(Raw_Data!H59)))</f>
        <v>288</v>
      </c>
      <c r="I59" s="23">
        <f>IFERROR(VALUE(SUBSTITUTE(SUBSTITUTE(Raw_Data!I59,"₹",""),",","")),"")</f>
        <v>34737.17</v>
      </c>
      <c r="J59" s="17" t="str">
        <f>IF(TRIM(Raw_Data!J59)="","Not Specified",PROPER(TRIM(Raw_Data!J59)))</f>
        <v>Medium</v>
      </c>
      <c r="K59" s="17" t="str">
        <f>IF(TRIM(Raw_Data!K59)="","Not Specified",IFERROR(INDEX(Lookup_Tables!$E$6:$E$13,MATCH(TRIM(Raw_Data!K59),Lookup_Tables!$D$6:$D$13,0)),"Unknown - Review"))</f>
        <v>Approved</v>
      </c>
      <c r="L59" s="17" t="str">
        <f>IF(TRIM(Raw_Data!L59)="","",PROPER(TRIM(Raw_Data!L59)))</f>
        <v>Stores Officer</v>
      </c>
      <c r="M59" s="22">
        <f>IF(Raw_Data!M59="","",IF(ISNUMBER(Raw_Data!M59),Raw_Data!M59,IF(ISNUMBER(SEARCH("/",Raw_Data!M59)),IFERROR(DATE(VALUE(RIGHT(Raw_Data!M59,4)),VALUE(MID(Raw_Data!M59,4,2)),VALUE(LEFT(Raw_Data!M59,2))),"Invalid Date"),IFERROR(DATEVALUE(Raw_Data!M59),"Invalid Date"))))</f>
        <v>45909</v>
      </c>
      <c r="N59" s="22">
        <f>IF(Raw_Data!N59="","",IF(ISNUMBER(Raw_Data!N59),Raw_Data!N59,IF(ISNUMBER(SEARCH("/",Raw_Data!N59)),IFERROR(DATE(VALUE(RIGHT(Raw_Data!N59,4)),VALUE(MID(Raw_Data!N59,4,2)),VALUE(LEFT(Raw_Data!N59,2))),"Invalid Date"),IFERROR(DATEVALUE(Raw_Data!N59),"Invalid Date"))))</f>
        <v>45936</v>
      </c>
      <c r="O59" s="22" t="str">
        <f>IF(Raw_Data!O59="","",IF(ISNUMBER(Raw_Data!O59),Raw_Data!O59,IF(ISNUMBER(SEARCH("/",Raw_Data!O59)),IFERROR(DATE(VALUE(RIGHT(Raw_Data!O59,4)),VALUE(MID(Raw_Data!O59,4,2)),VALUE(LEFT(Raw_Data!O59,2))),"Invalid Date"),IFERROR(DATEVALUE(Raw_Data!O59),"Invalid Date"))))</f>
        <v/>
      </c>
      <c r="P59" s="17" t="str">
        <f>IF(OR(TRIM(Raw_Data!P59)="",TRIM(Raw_Data!P59)="N/A",TRIM(Raw_Data!P59)="TBD",TRIM(Raw_Data!P59)="-"),"Not Assigned",PROPER(TRIM(Raw_Data!P59)))</f>
        <v>Central Ordnance Suppliers</v>
      </c>
      <c r="Q59" s="24">
        <f t="shared" si="0"/>
        <v>10004304.959999999</v>
      </c>
      <c r="R59" s="17" t="str">
        <f t="shared" si="1"/>
        <v/>
      </c>
      <c r="S59" s="17" t="str">
        <f>IF(COUNTIF($A$2:A59,A59)&gt;1,"Duplicate","Unique")</f>
        <v>Unique</v>
      </c>
      <c r="T59" s="17" t="str">
        <f t="shared" si="2"/>
        <v>No</v>
      </c>
      <c r="U59" s="17" t="str">
        <f t="shared" si="3"/>
        <v>No</v>
      </c>
      <c r="V59" s="17" t="str">
        <f t="shared" si="4"/>
        <v>Yes</v>
      </c>
      <c r="W59" s="17" t="str">
        <f t="shared" si="5"/>
        <v>Sep-2025</v>
      </c>
    </row>
    <row r="60" spans="1:23" x14ac:dyDescent="0.3">
      <c r="A60" s="17" t="str">
        <f>TRIM(Raw_Data!A60)</f>
        <v>REQ-2025-0059</v>
      </c>
      <c r="B60" s="22" t="str">
        <f>IF(Raw_Data!B60="","",IF(ISNUMBER(Raw_Data!B60),Raw_Data!B60,IF(ISNUMBER(SEARCH("/",Raw_Data!B60)),IFERROR(DATE(VALUE(RIGHT(Raw_Data!B60,4)),VALUE(MID(Raw_Data!B60,4,2)),VALUE(LEFT(Raw_Data!B60,2))),"Invalid Date"),IFERROR(DATEVALUE(Raw_Data!B60),"Invalid Date"))))</f>
        <v/>
      </c>
      <c r="C60" s="17" t="str">
        <f>IF(TRIM(Raw_Data!C60)="","",PROPER(TRIM(Raw_Data!C60)))</f>
        <v>Unit E - Medical Corps</v>
      </c>
      <c r="D60" s="17" t="str">
        <f>IF(TRIM(Raw_Data!D60)="","Not Specified",IFERROR(INDEX(Lookup_Tables!$H$6:$H$12,MATCH(TRIM(Raw_Data!D60),Lookup_Tables!$G$6:$G$12,0)),"Unknown - Review"))</f>
        <v>Central</v>
      </c>
      <c r="E60" s="17" t="str">
        <f>IF(TRIM(Raw_Data!E60)="","Not Specified",IFERROR(INDEX(Lookup_Tables!$B$6:$B$18,MATCH(TRIM(Raw_Data!E60),Lookup_Tables!$A$6:$A$18,0)),"Unknown - Review"))</f>
        <v>Medical Supplies</v>
      </c>
      <c r="F60" s="17" t="str">
        <f>IF(TRIM(Raw_Data!F60)="","",TRIM(Raw_Data!F60))</f>
        <v>Surgical Gloves (Box)</v>
      </c>
      <c r="G60" s="17">
        <f>IF(Raw_Data!G60="","",IF(VALUE(Raw_Data!G60)&lt;=0,"Invalid",VALUE(Raw_Data!G60)))</f>
        <v>60</v>
      </c>
      <c r="H60" s="17">
        <f>IF(Raw_Data!H60="","",IF(VALUE(Raw_Data!H60)&lt;=0,"Invalid",VALUE(Raw_Data!H60)))</f>
        <v>46</v>
      </c>
      <c r="I60" s="23">
        <f>IFERROR(VALUE(SUBSTITUTE(SUBSTITUTE(Raw_Data!I60,"₹",""),",","")),"")</f>
        <v>30192.05</v>
      </c>
      <c r="J60" s="17" t="str">
        <f>IF(TRIM(Raw_Data!J60)="","Not Specified",PROPER(TRIM(Raw_Data!J60)))</f>
        <v>Low</v>
      </c>
      <c r="K60" s="17" t="str">
        <f>IF(TRIM(Raw_Data!K60)="","Not Specified",IFERROR(INDEX(Lookup_Tables!$E$6:$E$13,MATCH(TRIM(Raw_Data!K60),Lookup_Tables!$D$6:$D$13,0)),"Unknown - Review"))</f>
        <v>Approved</v>
      </c>
      <c r="L60" s="17" t="str">
        <f>IF(TRIM(Raw_Data!L60)="","",PROPER(TRIM(Raw_Data!L60)))</f>
        <v>Logistics Officer</v>
      </c>
      <c r="M60" s="22">
        <f>IF(Raw_Data!M60="","",IF(ISNUMBER(Raw_Data!M60),Raw_Data!M60,IF(ISNUMBER(SEARCH("/",Raw_Data!M60)),IFERROR(DATE(VALUE(RIGHT(Raw_Data!M60,4)),VALUE(MID(Raw_Data!M60,4,2)),VALUE(LEFT(Raw_Data!M60,2))),"Invalid Date"),IFERROR(DATEVALUE(Raw_Data!M60),"Invalid Date"))))</f>
        <v>45942</v>
      </c>
      <c r="N60" s="22">
        <f>IF(Raw_Data!N60="","",IF(ISNUMBER(Raw_Data!N60),Raw_Data!N60,IF(ISNUMBER(SEARCH("/",Raw_Data!N60)),IFERROR(DATE(VALUE(RIGHT(Raw_Data!N60,4)),VALUE(MID(Raw_Data!N60,4,2)),VALUE(LEFT(Raw_Data!N60,2))),"Invalid Date"),IFERROR(DATEVALUE(Raw_Data!N60),"Invalid Date"))))</f>
        <v>45954</v>
      </c>
      <c r="O60" s="22" t="str">
        <f>IF(Raw_Data!O60="","",IF(ISNUMBER(Raw_Data!O60),Raw_Data!O60,IF(ISNUMBER(SEARCH("/",Raw_Data!O60)),IFERROR(DATE(VALUE(RIGHT(Raw_Data!O60,4)),VALUE(MID(Raw_Data!O60,4,2)),VALUE(LEFT(Raw_Data!O60,2))),"Invalid Date"),IFERROR(DATEVALUE(Raw_Data!O60),"Invalid Date"))))</f>
        <v/>
      </c>
      <c r="P60" s="17" t="str">
        <f>IF(OR(TRIM(Raw_Data!P60)="",TRIM(Raw_Data!P60)="N/A",TRIM(Raw_Data!P60)="TBD",TRIM(Raw_Data!P60)="-"),"Not Assigned",PROPER(TRIM(Raw_Data!P60)))</f>
        <v>Vikram Enterprises</v>
      </c>
      <c r="Q60" s="24">
        <f t="shared" si="0"/>
        <v>1388834.3</v>
      </c>
      <c r="R60" s="17" t="str">
        <f t="shared" si="1"/>
        <v/>
      </c>
      <c r="S60" s="17" t="str">
        <f>IF(COUNTIF($A$2:A60,A60)&gt;1,"Duplicate","Unique")</f>
        <v>Unique</v>
      </c>
      <c r="T60" s="17" t="str">
        <f t="shared" si="2"/>
        <v>No</v>
      </c>
      <c r="U60" s="17" t="str">
        <f t="shared" si="3"/>
        <v>No</v>
      </c>
      <c r="V60" s="17" t="str">
        <f t="shared" si="4"/>
        <v>Yes</v>
      </c>
      <c r="W60" s="17" t="str">
        <f t="shared" si="5"/>
        <v/>
      </c>
    </row>
    <row r="61" spans="1:23" x14ac:dyDescent="0.3">
      <c r="A61" s="17" t="str">
        <f>TRIM(Raw_Data!A61)</f>
        <v>REQ-2025-0060</v>
      </c>
      <c r="B61" s="22">
        <f>IF(Raw_Data!B61="","",IF(ISNUMBER(Raw_Data!B61),Raw_Data!B61,IF(ISNUMBER(SEARCH("/",Raw_Data!B61)),IFERROR(DATE(VALUE(RIGHT(Raw_Data!B61,4)),VALUE(MID(Raw_Data!B61,4,2)),VALUE(LEFT(Raw_Data!B61,2))),"Invalid Date"),IFERROR(DATEVALUE(Raw_Data!B61),"Invalid Date"))))</f>
        <v>45677</v>
      </c>
      <c r="C61" s="17" t="str">
        <f>IF(TRIM(Raw_Data!C61)="","",PROPER(TRIM(Raw_Data!C61)))</f>
        <v>Unit B - Artillery</v>
      </c>
      <c r="D61" s="17" t="str">
        <f>IF(TRIM(Raw_Data!D61)="","Not Specified",IFERROR(INDEX(Lookup_Tables!$H$6:$H$12,MATCH(TRIM(Raw_Data!D61),Lookup_Tables!$G$6:$G$12,0)),"Unknown - Review"))</f>
        <v>Southern</v>
      </c>
      <c r="E61" s="17" t="str">
        <f>IF(TRIM(Raw_Data!E61)="","Not Specified",IFERROR(INDEX(Lookup_Tables!$B$6:$B$18,MATCH(TRIM(Raw_Data!E61),Lookup_Tables!$A$6:$A$18,0)),"Unknown - Review"))</f>
        <v>Medical Supplies</v>
      </c>
      <c r="F61" s="17" t="str">
        <f>IF(TRIM(Raw_Data!F61)="","",TRIM(Raw_Data!F61))</f>
        <v>Stretcher</v>
      </c>
      <c r="G61" s="17">
        <f>IF(Raw_Data!G61="","",IF(VALUE(Raw_Data!G61)&lt;=0,"Invalid",VALUE(Raw_Data!G61)))</f>
        <v>456</v>
      </c>
      <c r="H61" s="17">
        <f>IF(Raw_Data!H61="","",IF(VALUE(Raw_Data!H61)&lt;=0,"Invalid",VALUE(Raw_Data!H61)))</f>
        <v>324</v>
      </c>
      <c r="I61" s="23">
        <f>IFERROR(VALUE(SUBSTITUTE(SUBSTITUTE(Raw_Data!I61,"₹",""),",","")),"")</f>
        <v>37653.71</v>
      </c>
      <c r="J61" s="17" t="str">
        <f>IF(TRIM(Raw_Data!J61)="","Not Specified",PROPER(TRIM(Raw_Data!J61)))</f>
        <v>Medium</v>
      </c>
      <c r="K61" s="17" t="str">
        <f>IF(TRIM(Raw_Data!K61)="","Not Specified",IFERROR(INDEX(Lookup_Tables!$E$6:$E$13,MATCH(TRIM(Raw_Data!K61),Lookup_Tables!$D$6:$D$13,0)),"Unknown - Review"))</f>
        <v>Delivered</v>
      </c>
      <c r="L61" s="17" t="str">
        <f>IF(TRIM(Raw_Data!L61)="","",PROPER(TRIM(Raw_Data!L61)))</f>
        <v>Unit Commander</v>
      </c>
      <c r="M61" s="22" t="str">
        <f>IF(Raw_Data!M61="","",IF(ISNUMBER(Raw_Data!M61),Raw_Data!M61,IF(ISNUMBER(SEARCH("/",Raw_Data!M61)),IFERROR(DATE(VALUE(RIGHT(Raw_Data!M61,4)),VALUE(MID(Raw_Data!M61,4,2)),VALUE(LEFT(Raw_Data!M61,2))),"Invalid Date"),IFERROR(DATEVALUE(Raw_Data!M61),"Invalid Date"))))</f>
        <v/>
      </c>
      <c r="N61" s="22">
        <f>IF(Raw_Data!N61="","",IF(ISNUMBER(Raw_Data!N61),Raw_Data!N61,IF(ISNUMBER(SEARCH("/",Raw_Data!N61)),IFERROR(DATE(VALUE(RIGHT(Raw_Data!N61,4)),VALUE(MID(Raw_Data!N61,4,2)),VALUE(LEFT(Raw_Data!N61,2))),"Invalid Date"),IFERROR(DATEVALUE(Raw_Data!N61),"Invalid Date"))))</f>
        <v>45695</v>
      </c>
      <c r="O61" s="22">
        <f>IF(Raw_Data!O61="","",IF(ISNUMBER(Raw_Data!O61),Raw_Data!O61,IF(ISNUMBER(SEARCH("/",Raw_Data!O61)),IFERROR(DATE(VALUE(RIGHT(Raw_Data!O61,4)),VALUE(MID(Raw_Data!O61,4,2)),VALUE(LEFT(Raw_Data!O61,2))),"Invalid Date"),IFERROR(DATEVALUE(Raw_Data!O61),"Invalid Date"))))</f>
        <v>45713</v>
      </c>
      <c r="P61" s="17" t="str">
        <f>IF(OR(TRIM(Raw_Data!P61)="",TRIM(Raw_Data!P61)="N/A",TRIM(Raw_Data!P61)="TBD",TRIM(Raw_Data!P61)="-"),"Not Assigned",PROPER(TRIM(Raw_Data!P61)))</f>
        <v>Shakti Traders</v>
      </c>
      <c r="Q61" s="24">
        <f t="shared" si="0"/>
        <v>12199802.039999999</v>
      </c>
      <c r="R61" s="17">
        <f t="shared" si="1"/>
        <v>18</v>
      </c>
      <c r="S61" s="17" t="str">
        <f>IF(COUNTIF($A$2:A61,A61)&gt;1,"Duplicate","Unique")</f>
        <v>Unique</v>
      </c>
      <c r="T61" s="17" t="str">
        <f t="shared" si="2"/>
        <v>No</v>
      </c>
      <c r="U61" s="17" t="str">
        <f t="shared" si="3"/>
        <v>No</v>
      </c>
      <c r="V61" s="17" t="str">
        <f t="shared" si="4"/>
        <v>Yes</v>
      </c>
      <c r="W61" s="17" t="str">
        <f t="shared" si="5"/>
        <v>Jan-2025</v>
      </c>
    </row>
    <row r="62" spans="1:23" x14ac:dyDescent="0.3">
      <c r="A62" s="17" t="str">
        <f>TRIM(Raw_Data!A62)</f>
        <v>REQ-2025-0061</v>
      </c>
      <c r="B62" s="22">
        <f>IF(Raw_Data!B62="","",IF(ISNUMBER(Raw_Data!B62),Raw_Data!B62,IF(ISNUMBER(SEARCH("/",Raw_Data!B62)),IFERROR(DATE(VALUE(RIGHT(Raw_Data!B62,4)),VALUE(MID(Raw_Data!B62,4,2)),VALUE(LEFT(Raw_Data!B62,2))),"Invalid Date"),IFERROR(DATEVALUE(Raw_Data!B62),"Invalid Date"))))</f>
        <v>45970</v>
      </c>
      <c r="C62" s="17" t="str">
        <f>IF(TRIM(Raw_Data!C62)="","",PROPER(TRIM(Raw_Data!C62)))</f>
        <v>Unit F - Ordnance Depot</v>
      </c>
      <c r="D62" s="17" t="str">
        <f>IF(TRIM(Raw_Data!D62)="","Not Specified",IFERROR(INDEX(Lookup_Tables!$H$6:$H$12,MATCH(TRIM(Raw_Data!D62),Lookup_Tables!$G$6:$G$12,0)),"Unknown - Review"))</f>
        <v>Northern</v>
      </c>
      <c r="E62" s="17" t="str">
        <f>IF(TRIM(Raw_Data!E62)="","Not Specified",IFERROR(INDEX(Lookup_Tables!$B$6:$B$18,MATCH(TRIM(Raw_Data!E62),Lookup_Tables!$A$6:$A$18,0)),"Unknown - Review"))</f>
        <v>Medical Supplies</v>
      </c>
      <c r="F62" s="17" t="str">
        <f>IF(TRIM(Raw_Data!F62)="","",TRIM(Raw_Data!F62))</f>
        <v>Surgical Gloves (Box)</v>
      </c>
      <c r="G62" s="17">
        <f>IF(Raw_Data!G62="","",IF(VALUE(Raw_Data!G62)&lt;=0,"Invalid",VALUE(Raw_Data!G62)))</f>
        <v>268</v>
      </c>
      <c r="H62" s="17">
        <f>IF(Raw_Data!H62="","",IF(VALUE(Raw_Data!H62)&lt;=0,"Invalid",VALUE(Raw_Data!H62)))</f>
        <v>195</v>
      </c>
      <c r="I62" s="23" t="str">
        <f>IFERROR(VALUE(SUBSTITUTE(SUBSTITUTE(Raw_Data!I62,"₹",""),",","")),"")</f>
        <v/>
      </c>
      <c r="J62" s="17" t="str">
        <f>IF(TRIM(Raw_Data!J62)="","Not Specified",PROPER(TRIM(Raw_Data!J62)))</f>
        <v>Routine</v>
      </c>
      <c r="K62" s="17" t="str">
        <f>IF(TRIM(Raw_Data!K62)="","Not Specified",IFERROR(INDEX(Lookup_Tables!$E$6:$E$13,MATCH(TRIM(Raw_Data!K62),Lookup_Tables!$D$6:$D$13,0)),"Unknown - Review"))</f>
        <v>Delivered</v>
      </c>
      <c r="L62" s="17" t="str">
        <f>IF(TRIM(Raw_Data!L62)="","",PROPER(TRIM(Raw_Data!L62)))</f>
        <v>Unit Commander</v>
      </c>
      <c r="M62" s="22">
        <f>IF(Raw_Data!M62="","",IF(ISNUMBER(Raw_Data!M62),Raw_Data!M62,IF(ISNUMBER(SEARCH("/",Raw_Data!M62)),IFERROR(DATE(VALUE(RIGHT(Raw_Data!M62,4)),VALUE(MID(Raw_Data!M62,4,2)),VALUE(LEFT(Raw_Data!M62,2))),"Invalid Date"),IFERROR(DATEVALUE(Raw_Data!M62),"Invalid Date"))))</f>
        <v>45978</v>
      </c>
      <c r="N62" s="22">
        <f>IF(Raw_Data!N62="","",IF(ISNUMBER(Raw_Data!N62),Raw_Data!N62,IF(ISNUMBER(SEARCH("/",Raw_Data!N62)),IFERROR(DATE(VALUE(RIGHT(Raw_Data!N62,4)),VALUE(MID(Raw_Data!N62,4,2)),VALUE(LEFT(Raw_Data!N62,2))),"Invalid Date"),IFERROR(DATEVALUE(Raw_Data!N62),"Invalid Date"))))</f>
        <v>45993</v>
      </c>
      <c r="O62" s="22">
        <f>IF(Raw_Data!O62="","",IF(ISNUMBER(Raw_Data!O62),Raw_Data!O62,IF(ISNUMBER(SEARCH("/",Raw_Data!O62)),IFERROR(DATE(VALUE(RIGHT(Raw_Data!O62,4)),VALUE(MID(Raw_Data!O62,4,2)),VALUE(LEFT(Raw_Data!O62,2))),"Invalid Date"),IFERROR(DATEVALUE(Raw_Data!O62),"Invalid Date"))))</f>
        <v>45995</v>
      </c>
      <c r="P62" s="17" t="str">
        <f>IF(OR(TRIM(Raw_Data!P62)="",TRIM(Raw_Data!P62)="N/A",TRIM(Raw_Data!P62)="TBD",TRIM(Raw_Data!P62)="-"),"Not Assigned",PROPER(TRIM(Raw_Data!P62)))</f>
        <v>Bharat Logistics Pvt Ltd</v>
      </c>
      <c r="Q62" s="24" t="str">
        <f t="shared" si="0"/>
        <v/>
      </c>
      <c r="R62" s="17">
        <f t="shared" si="1"/>
        <v>2</v>
      </c>
      <c r="S62" s="17" t="str">
        <f>IF(COUNTIF($A$2:A62,A62)&gt;1,"Duplicate","Unique")</f>
        <v>Unique</v>
      </c>
      <c r="T62" s="17" t="str">
        <f t="shared" si="2"/>
        <v>No</v>
      </c>
      <c r="U62" s="17" t="str">
        <f t="shared" si="3"/>
        <v>No</v>
      </c>
      <c r="V62" s="17" t="str">
        <f t="shared" si="4"/>
        <v>Yes</v>
      </c>
      <c r="W62" s="17" t="str">
        <f t="shared" si="5"/>
        <v>Nov-2025</v>
      </c>
    </row>
    <row r="63" spans="1:23" x14ac:dyDescent="0.3">
      <c r="A63" s="17" t="str">
        <f>TRIM(Raw_Data!A63)</f>
        <v>REQ-2025-0062</v>
      </c>
      <c r="B63" s="22">
        <f>IF(Raw_Data!B63="","",IF(ISNUMBER(Raw_Data!B63),Raw_Data!B63,IF(ISNUMBER(SEARCH("/",Raw_Data!B63)),IFERROR(DATE(VALUE(RIGHT(Raw_Data!B63,4)),VALUE(MID(Raw_Data!B63,4,2)),VALUE(LEFT(Raw_Data!B63,2))),"Invalid Date"),IFERROR(DATEVALUE(Raw_Data!B63),"Invalid Date"))))</f>
        <v>45726</v>
      </c>
      <c r="C63" s="17" t="str">
        <f>IF(TRIM(Raw_Data!C63)="","",PROPER(TRIM(Raw_Data!C63)))</f>
        <v>Unit E - Medical Corps</v>
      </c>
      <c r="D63" s="17" t="str">
        <f>IF(TRIM(Raw_Data!D63)="","Not Specified",IFERROR(INDEX(Lookup_Tables!$H$6:$H$12,MATCH(TRIM(Raw_Data!D63),Lookup_Tables!$G$6:$G$12,0)),"Unknown - Review"))</f>
        <v>Central</v>
      </c>
      <c r="E63" s="17" t="str">
        <f>IF(TRIM(Raw_Data!E63)="","Not Specified",IFERROR(INDEX(Lookup_Tables!$B$6:$B$18,MATCH(TRIM(Raw_Data!E63),Lookup_Tables!$A$6:$A$18,0)),"Unknown - Review"))</f>
        <v>Medical Supplies</v>
      </c>
      <c r="F63" s="17" t="str">
        <f>IF(TRIM(Raw_Data!F63)="","",TRIM(Raw_Data!F63))</f>
        <v>Surgical Gloves (Box)</v>
      </c>
      <c r="G63" s="17">
        <f>IF(Raw_Data!G63="","",IF(VALUE(Raw_Data!G63)&lt;=0,"Invalid",VALUE(Raw_Data!G63)))</f>
        <v>217</v>
      </c>
      <c r="H63" s="17">
        <f>IF(Raw_Data!H63="","",IF(VALUE(Raw_Data!H63)&lt;=0,"Invalid",VALUE(Raw_Data!H63)))</f>
        <v>201</v>
      </c>
      <c r="I63" s="23">
        <f>IFERROR(VALUE(SUBSTITUTE(SUBSTITUTE(Raw_Data!I63,"₹",""),",","")),"")</f>
        <v>36119.480000000003</v>
      </c>
      <c r="J63" s="17" t="str">
        <f>IF(TRIM(Raw_Data!J63)="","Not Specified",PROPER(TRIM(Raw_Data!J63)))</f>
        <v>Routine</v>
      </c>
      <c r="K63" s="17" t="str">
        <f>IF(TRIM(Raw_Data!K63)="","Not Specified",IFERROR(INDEX(Lookup_Tables!$E$6:$E$13,MATCH(TRIM(Raw_Data!K63),Lookup_Tables!$D$6:$D$13,0)),"Unknown - Review"))</f>
        <v>Dispatched</v>
      </c>
      <c r="L63" s="17" t="str">
        <f>IF(TRIM(Raw_Data!L63)="","",PROPER(TRIM(Raw_Data!L63)))</f>
        <v>Stores Officer</v>
      </c>
      <c r="M63" s="22">
        <f>IF(Raw_Data!M63="","",IF(ISNUMBER(Raw_Data!M63),Raw_Data!M63,IF(ISNUMBER(SEARCH("/",Raw_Data!M63)),IFERROR(DATE(VALUE(RIGHT(Raw_Data!M63,4)),VALUE(MID(Raw_Data!M63,4,2)),VALUE(LEFT(Raw_Data!M63,2))),"Invalid Date"),IFERROR(DATEVALUE(Raw_Data!M63),"Invalid Date"))))</f>
        <v>45730</v>
      </c>
      <c r="N63" s="22">
        <f>IF(Raw_Data!N63="","",IF(ISNUMBER(Raw_Data!N63),Raw_Data!N63,IF(ISNUMBER(SEARCH("/",Raw_Data!N63)),IFERROR(DATE(VALUE(RIGHT(Raw_Data!N63,4)),VALUE(MID(Raw_Data!N63,4,2)),VALUE(LEFT(Raw_Data!N63,2))),"Invalid Date"),IFERROR(DATEVALUE(Raw_Data!N63),"Invalid Date"))))</f>
        <v>45759</v>
      </c>
      <c r="O63" s="22" t="str">
        <f>IF(Raw_Data!O63="","",IF(ISNUMBER(Raw_Data!O63),Raw_Data!O63,IF(ISNUMBER(SEARCH("/",Raw_Data!O63)),IFERROR(DATE(VALUE(RIGHT(Raw_Data!O63,4)),VALUE(MID(Raw_Data!O63,4,2)),VALUE(LEFT(Raw_Data!O63,2))),"Invalid Date"),IFERROR(DATEVALUE(Raw_Data!O63),"Invalid Date"))))</f>
        <v/>
      </c>
      <c r="P63" s="17" t="str">
        <f>IF(OR(TRIM(Raw_Data!P63)="",TRIM(Raw_Data!P63)="N/A",TRIM(Raw_Data!P63)="TBD",TRIM(Raw_Data!P63)="-"),"Not Assigned",PROPER(TRIM(Raw_Data!P63)))</f>
        <v>Vikram Enterprises</v>
      </c>
      <c r="Q63" s="24">
        <f t="shared" si="0"/>
        <v>7260015.4800000004</v>
      </c>
      <c r="R63" s="17" t="str">
        <f t="shared" si="1"/>
        <v/>
      </c>
      <c r="S63" s="17" t="str">
        <f>IF(COUNTIF($A$2:A63,A63)&gt;1,"Duplicate","Unique")</f>
        <v>Unique</v>
      </c>
      <c r="T63" s="17" t="str">
        <f t="shared" si="2"/>
        <v>No</v>
      </c>
      <c r="U63" s="17" t="str">
        <f t="shared" si="3"/>
        <v>No</v>
      </c>
      <c r="V63" s="17" t="str">
        <f t="shared" si="4"/>
        <v>Yes</v>
      </c>
      <c r="W63" s="17" t="str">
        <f t="shared" si="5"/>
        <v>Mar-2025</v>
      </c>
    </row>
    <row r="64" spans="1:23" x14ac:dyDescent="0.3">
      <c r="A64" s="17" t="str">
        <f>TRIM(Raw_Data!A64)</f>
        <v>REQ-2025-0063</v>
      </c>
      <c r="B64" s="22">
        <f>IF(Raw_Data!B64="","",IF(ISNUMBER(Raw_Data!B64),Raw_Data!B64,IF(ISNUMBER(SEARCH("/",Raw_Data!B64)),IFERROR(DATE(VALUE(RIGHT(Raw_Data!B64,4)),VALUE(MID(Raw_Data!B64,4,2)),VALUE(LEFT(Raw_Data!B64,2))),"Invalid Date"),IFERROR(DATEVALUE(Raw_Data!B64),"Invalid Date"))))</f>
        <v>45686</v>
      </c>
      <c r="C64" s="17" t="str">
        <f>IF(TRIM(Raw_Data!C64)="","",PROPER(TRIM(Raw_Data!C64)))</f>
        <v>Unit H - Air Defence</v>
      </c>
      <c r="D64" s="17" t="str">
        <f>IF(TRIM(Raw_Data!D64)="","Not Specified",IFERROR(INDEX(Lookup_Tables!$H$6:$H$12,MATCH(TRIM(Raw_Data!D64),Lookup_Tables!$G$6:$G$12,0)),"Unknown - Review"))</f>
        <v>Eastern</v>
      </c>
      <c r="E64" s="17" t="str">
        <f>IF(TRIM(Raw_Data!E64)="","Not Specified",IFERROR(INDEX(Lookup_Tables!$B$6:$B$18,MATCH(TRIM(Raw_Data!E64),Lookup_Tables!$A$6:$A$18,0)),"Unknown - Review"))</f>
        <v>Tents &amp; Shelter</v>
      </c>
      <c r="F64" s="17" t="str">
        <f>IF(TRIM(Raw_Data!F64)="","",TRIM(Raw_Data!F64))</f>
        <v>Tent Poles Set</v>
      </c>
      <c r="G64" s="17" t="str">
        <f>IF(Raw_Data!G64="","",IF(VALUE(Raw_Data!G64)&lt;=0,"Invalid",VALUE(Raw_Data!G64)))</f>
        <v>Invalid</v>
      </c>
      <c r="H64" s="17">
        <f>IF(Raw_Data!H64="","",IF(VALUE(Raw_Data!H64)&lt;=0,"Invalid",VALUE(Raw_Data!H64)))</f>
        <v>276</v>
      </c>
      <c r="I64" s="23">
        <f>IFERROR(VALUE(SUBSTITUTE(SUBSTITUTE(Raw_Data!I64,"₹",""),",","")),"")</f>
        <v>32589.11</v>
      </c>
      <c r="J64" s="17" t="str">
        <f>IF(TRIM(Raw_Data!J64)="","Not Specified",PROPER(TRIM(Raw_Data!J64)))</f>
        <v>Routine</v>
      </c>
      <c r="K64" s="17" t="str">
        <f>IF(TRIM(Raw_Data!K64)="","Not Specified",IFERROR(INDEX(Lookup_Tables!$E$6:$E$13,MATCH(TRIM(Raw_Data!K64),Lookup_Tables!$D$6:$D$13,0)),"Unknown - Review"))</f>
        <v>Not Specified</v>
      </c>
      <c r="L64" s="17" t="str">
        <f>IF(TRIM(Raw_Data!L64)="","",PROPER(TRIM(Raw_Data!L64)))</f>
        <v>Unit Commander</v>
      </c>
      <c r="M64" s="22">
        <f>IF(Raw_Data!M64="","",IF(ISNUMBER(Raw_Data!M64),Raw_Data!M64,IF(ISNUMBER(SEARCH("/",Raw_Data!M64)),IFERROR(DATE(VALUE(RIGHT(Raw_Data!M64,4)),VALUE(MID(Raw_Data!M64,4,2)),VALUE(LEFT(Raw_Data!M64,2))),"Invalid Date"),IFERROR(DATEVALUE(Raw_Data!M64),"Invalid Date"))))</f>
        <v>45693</v>
      </c>
      <c r="N64" s="22">
        <f>IF(Raw_Data!N64="","",IF(ISNUMBER(Raw_Data!N64),Raw_Data!N64,IF(ISNUMBER(SEARCH("/",Raw_Data!N64)),IFERROR(DATE(VALUE(RIGHT(Raw_Data!N64,4)),VALUE(MID(Raw_Data!N64,4,2)),VALUE(LEFT(Raw_Data!N64,2))),"Invalid Date"),IFERROR(DATEVALUE(Raw_Data!N64),"Invalid Date"))))</f>
        <v>45706</v>
      </c>
      <c r="O64" s="22" t="str">
        <f>IF(Raw_Data!O64="","",IF(ISNUMBER(Raw_Data!O64),Raw_Data!O64,IF(ISNUMBER(SEARCH("/",Raw_Data!O64)),IFERROR(DATE(VALUE(RIGHT(Raw_Data!O64,4)),VALUE(MID(Raw_Data!O64,4,2)),VALUE(LEFT(Raw_Data!O64,2))),"Invalid Date"),IFERROR(DATEVALUE(Raw_Data!O64),"Invalid Date"))))</f>
        <v/>
      </c>
      <c r="P64" s="17" t="str">
        <f>IF(OR(TRIM(Raw_Data!P64)="",TRIM(Raw_Data!P64)="N/A",TRIM(Raw_Data!P64)="TBD",TRIM(Raw_Data!P64)="-"),"Not Assigned",PROPER(TRIM(Raw_Data!P64)))</f>
        <v>Bharat Logistics Pvt Ltd</v>
      </c>
      <c r="Q64" s="24">
        <f t="shared" si="0"/>
        <v>8994594.3599999994</v>
      </c>
      <c r="R64" s="17" t="str">
        <f t="shared" si="1"/>
        <v/>
      </c>
      <c r="S64" s="17" t="str">
        <f>IF(COUNTIF($A$2:A64,A64)&gt;1,"Duplicate","Unique")</f>
        <v>Unique</v>
      </c>
      <c r="T64" s="17" t="str">
        <f t="shared" si="2"/>
        <v>Yes</v>
      </c>
      <c r="U64" s="17" t="str">
        <f t="shared" si="3"/>
        <v>No</v>
      </c>
      <c r="V64" s="17" t="str">
        <f t="shared" si="4"/>
        <v>No</v>
      </c>
      <c r="W64" s="17" t="str">
        <f t="shared" si="5"/>
        <v>Jan-2025</v>
      </c>
    </row>
    <row r="65" spans="1:23" x14ac:dyDescent="0.3">
      <c r="A65" s="17" t="str">
        <f>TRIM(Raw_Data!A65)</f>
        <v>REQ-2025-0064</v>
      </c>
      <c r="B65" s="22">
        <f>IF(Raw_Data!B65="","",IF(ISNUMBER(Raw_Data!B65),Raw_Data!B65,IF(ISNUMBER(SEARCH("/",Raw_Data!B65)),IFERROR(DATE(VALUE(RIGHT(Raw_Data!B65,4)),VALUE(MID(Raw_Data!B65,4,2)),VALUE(LEFT(Raw_Data!B65,2))),"Invalid Date"),IFERROR(DATEVALUE(Raw_Data!B65),"Invalid Date"))))</f>
        <v>45851</v>
      </c>
      <c r="C65" s="17" t="str">
        <f>IF(TRIM(Raw_Data!C65)="","",PROPER(TRIM(Raw_Data!C65)))</f>
        <v>Unit G - Transport Corps</v>
      </c>
      <c r="D65" s="17" t="str">
        <f>IF(TRIM(Raw_Data!D65)="","Not Specified",IFERROR(INDEX(Lookup_Tables!$H$6:$H$12,MATCH(TRIM(Raw_Data!D65),Lookup_Tables!$G$6:$G$12,0)),"Unknown - Review"))</f>
        <v>Southern</v>
      </c>
      <c r="E65" s="17" t="str">
        <f>IF(TRIM(Raw_Data!E65)="","Not Specified",IFERROR(INDEX(Lookup_Tables!$B$6:$B$18,MATCH(TRIM(Raw_Data!E65),Lookup_Tables!$A$6:$A$18,0)),"Unknown - Review"))</f>
        <v>Construction Material</v>
      </c>
      <c r="F65" s="17" t="str">
        <f>IF(TRIM(Raw_Data!F65)="","",TRIM(Raw_Data!F65))</f>
        <v>Timber Plank Set</v>
      </c>
      <c r="G65" s="17">
        <f>IF(Raw_Data!G65="","",IF(VALUE(Raw_Data!G65)&lt;=0,"Invalid",VALUE(Raw_Data!G65)))</f>
        <v>65</v>
      </c>
      <c r="H65" s="17" t="str">
        <f>IF(Raw_Data!H65="","",IF(VALUE(Raw_Data!H65)&lt;=0,"Invalid",VALUE(Raw_Data!H65)))</f>
        <v/>
      </c>
      <c r="I65" s="23">
        <f>IFERROR(VALUE(SUBSTITUTE(SUBSTITUTE(Raw_Data!I65,"₹",""),",","")),"")</f>
        <v>23868.59</v>
      </c>
      <c r="J65" s="17" t="str">
        <f>IF(TRIM(Raw_Data!J65)="","Not Specified",PROPER(TRIM(Raw_Data!J65)))</f>
        <v>Medium</v>
      </c>
      <c r="K65" s="17" t="str">
        <f>IF(TRIM(Raw_Data!K65)="","Not Specified",IFERROR(INDEX(Lookup_Tables!$E$6:$E$13,MATCH(TRIM(Raw_Data!K65),Lookup_Tables!$D$6:$D$13,0)),"Unknown - Review"))</f>
        <v>Rejected</v>
      </c>
      <c r="L65" s="17" t="str">
        <f>IF(TRIM(Raw_Data!L65)="","",PROPER(TRIM(Raw_Data!L65)))</f>
        <v>Stores Officer</v>
      </c>
      <c r="M65" s="22" t="str">
        <f>IF(Raw_Data!M65="","",IF(ISNUMBER(Raw_Data!M65),Raw_Data!M65,IF(ISNUMBER(SEARCH("/",Raw_Data!M65)),IFERROR(DATE(VALUE(RIGHT(Raw_Data!M65,4)),VALUE(MID(Raw_Data!M65,4,2)),VALUE(LEFT(Raw_Data!M65,2))),"Invalid Date"),IFERROR(DATEVALUE(Raw_Data!M65),"Invalid Date"))))</f>
        <v/>
      </c>
      <c r="N65" s="22" t="str">
        <f>IF(Raw_Data!N65="","",IF(ISNUMBER(Raw_Data!N65),Raw_Data!N65,IF(ISNUMBER(SEARCH("/",Raw_Data!N65)),IFERROR(DATE(VALUE(RIGHT(Raw_Data!N65,4)),VALUE(MID(Raw_Data!N65,4,2)),VALUE(LEFT(Raw_Data!N65,2))),"Invalid Date"),IFERROR(DATEVALUE(Raw_Data!N65),"Invalid Date"))))</f>
        <v/>
      </c>
      <c r="O65" s="22" t="str">
        <f>IF(Raw_Data!O65="","",IF(ISNUMBER(Raw_Data!O65),Raw_Data!O65,IF(ISNUMBER(SEARCH("/",Raw_Data!O65)),IFERROR(DATE(VALUE(RIGHT(Raw_Data!O65,4)),VALUE(MID(Raw_Data!O65,4,2)),VALUE(LEFT(Raw_Data!O65,2))),"Invalid Date"),IFERROR(DATEVALUE(Raw_Data!O65),"Invalid Date"))))</f>
        <v/>
      </c>
      <c r="P65" s="17" t="str">
        <f>IF(OR(TRIM(Raw_Data!P65)="",TRIM(Raw_Data!P65)="N/A",TRIM(Raw_Data!P65)="TBD",TRIM(Raw_Data!P65)="-"),"Not Assigned",PROPER(TRIM(Raw_Data!P65)))</f>
        <v>Not Assigned</v>
      </c>
      <c r="Q65" s="24" t="str">
        <f t="shared" si="0"/>
        <v/>
      </c>
      <c r="R65" s="17" t="str">
        <f t="shared" si="1"/>
        <v/>
      </c>
      <c r="S65" s="17" t="str">
        <f>IF(COUNTIF($A$2:A65,A65)&gt;1,"Duplicate","Unique")</f>
        <v>Unique</v>
      </c>
      <c r="T65" s="17" t="str">
        <f t="shared" si="2"/>
        <v>No</v>
      </c>
      <c r="U65" s="17" t="str">
        <f t="shared" si="3"/>
        <v>No</v>
      </c>
      <c r="V65" s="17" t="str">
        <f t="shared" si="4"/>
        <v>Yes</v>
      </c>
      <c r="W65" s="17" t="str">
        <f t="shared" si="5"/>
        <v>Jul-2025</v>
      </c>
    </row>
    <row r="66" spans="1:23" x14ac:dyDescent="0.3">
      <c r="A66" s="17" t="str">
        <f>TRIM(Raw_Data!A66)</f>
        <v>REQ-2025-0065</v>
      </c>
      <c r="B66" s="22">
        <f>IF(Raw_Data!B66="","",IF(ISNUMBER(Raw_Data!B66),Raw_Data!B66,IF(ISNUMBER(SEARCH("/",Raw_Data!B66)),IFERROR(DATE(VALUE(RIGHT(Raw_Data!B66,4)),VALUE(MID(Raw_Data!B66,4,2)),VALUE(LEFT(Raw_Data!B66,2))),"Invalid Date"),IFERROR(DATEVALUE(Raw_Data!B66),"Invalid Date"))))</f>
        <v>45962</v>
      </c>
      <c r="C66" s="17" t="str">
        <f>IF(TRIM(Raw_Data!C66)="","",PROPER(TRIM(Raw_Data!C66)))</f>
        <v>Unit A - Infantry</v>
      </c>
      <c r="D66" s="17" t="str">
        <f>IF(TRIM(Raw_Data!D66)="","Not Specified",IFERROR(INDEX(Lookup_Tables!$H$6:$H$12,MATCH(TRIM(Raw_Data!D66),Lookup_Tables!$G$6:$G$12,0)),"Unknown - Review"))</f>
        <v>Northern</v>
      </c>
      <c r="E66" s="17" t="str">
        <f>IF(TRIM(Raw_Data!E66)="","Not Specified",IFERROR(INDEX(Lookup_Tables!$B$6:$B$18,MATCH(TRIM(Raw_Data!E66),Lookup_Tables!$A$6:$A$18,0)),"Unknown - Review"))</f>
        <v>Vehicle Spares</v>
      </c>
      <c r="F66" s="17" t="str">
        <f>IF(TRIM(Raw_Data!F66)="","",TRIM(Raw_Data!F66))</f>
        <v>Truck Tyre 900x20</v>
      </c>
      <c r="G66" s="17" t="str">
        <f>IF(Raw_Data!G66="","",IF(VALUE(Raw_Data!G66)&lt;=0,"Invalid",VALUE(Raw_Data!G66)))</f>
        <v>Invalid</v>
      </c>
      <c r="H66" s="17" t="str">
        <f>IF(Raw_Data!H66="","",IF(VALUE(Raw_Data!H66)&lt;=0,"Invalid",VALUE(Raw_Data!H66)))</f>
        <v/>
      </c>
      <c r="I66" s="23">
        <f>IFERROR(VALUE(SUBSTITUTE(SUBSTITUTE(Raw_Data!I66,"₹",""),",","")),"")</f>
        <v>19837.48</v>
      </c>
      <c r="J66" s="17" t="str">
        <f>IF(TRIM(Raw_Data!J66)="","Not Specified",PROPER(TRIM(Raw_Data!J66)))</f>
        <v>High</v>
      </c>
      <c r="K66" s="17" t="str">
        <f>IF(TRIM(Raw_Data!K66)="","Not Specified",IFERROR(INDEX(Lookup_Tables!$E$6:$E$13,MATCH(TRIM(Raw_Data!K66),Lookup_Tables!$D$6:$D$13,0)),"Unknown - Review"))</f>
        <v>Pending</v>
      </c>
      <c r="L66" s="17" t="str">
        <f>IF(TRIM(Raw_Data!L66)="","",PROPER(TRIM(Raw_Data!L66)))</f>
        <v>Logistics Officer</v>
      </c>
      <c r="M66" s="22" t="str">
        <f>IF(Raw_Data!M66="","",IF(ISNUMBER(Raw_Data!M66),Raw_Data!M66,IF(ISNUMBER(SEARCH("/",Raw_Data!M66)),IFERROR(DATE(VALUE(RIGHT(Raw_Data!M66,4)),VALUE(MID(Raw_Data!M66,4,2)),VALUE(LEFT(Raw_Data!M66,2))),"Invalid Date"),IFERROR(DATEVALUE(Raw_Data!M66),"Invalid Date"))))</f>
        <v/>
      </c>
      <c r="N66" s="22" t="str">
        <f>IF(Raw_Data!N66="","",IF(ISNUMBER(Raw_Data!N66),Raw_Data!N66,IF(ISNUMBER(SEARCH("/",Raw_Data!N66)),IFERROR(DATE(VALUE(RIGHT(Raw_Data!N66,4)),VALUE(MID(Raw_Data!N66,4,2)),VALUE(LEFT(Raw_Data!N66,2))),"Invalid Date"),IFERROR(DATEVALUE(Raw_Data!N66),"Invalid Date"))))</f>
        <v/>
      </c>
      <c r="O66" s="22" t="str">
        <f>IF(Raw_Data!O66="","",IF(ISNUMBER(Raw_Data!O66),Raw_Data!O66,IF(ISNUMBER(SEARCH("/",Raw_Data!O66)),IFERROR(DATE(VALUE(RIGHT(Raw_Data!O66,4)),VALUE(MID(Raw_Data!O66,4,2)),VALUE(LEFT(Raw_Data!O66,2))),"Invalid Date"),IFERROR(DATEVALUE(Raw_Data!O66),"Invalid Date"))))</f>
        <v/>
      </c>
      <c r="P66" s="17" t="str">
        <f>IF(OR(TRIM(Raw_Data!P66)="",TRIM(Raw_Data!P66)="N/A",TRIM(Raw_Data!P66)="TBD",TRIM(Raw_Data!P66)="-"),"Not Assigned",PROPER(TRIM(Raw_Data!P66)))</f>
        <v>Not Assigned</v>
      </c>
      <c r="Q66" s="24" t="str">
        <f t="shared" ref="Q66:Q129" si="6">IF(OR(H66="",I66="",NOT(ISNUMBER(H66)),NOT(ISNUMBER(I66))),"",H66*I66)</f>
        <v/>
      </c>
      <c r="R66" s="17" t="str">
        <f t="shared" ref="R66:R129" si="7">IF(AND(ISNUMBER(O66),ISNUMBER(N66)),O66-N66,"")</f>
        <v/>
      </c>
      <c r="S66" s="17" t="str">
        <f>IF(COUNTIF($A$2:A66,A66)&gt;1,"Duplicate","Unique")</f>
        <v>Unique</v>
      </c>
      <c r="T66" s="17" t="str">
        <f t="shared" ref="T66:T129" si="8">IF(OR(G66="",K66="Not Specified",C66=""),"Yes","No")</f>
        <v>No</v>
      </c>
      <c r="U66" s="17" t="str">
        <f t="shared" ref="U66:U129" si="9">IF(OR(AND(ISNUMBER(H66),ISNUMBER(G66),H66&gt;G66),AND(K66="Rejected",ISNUMBER(H66),H66&gt;0)),"Yes","No")</f>
        <v>No</v>
      </c>
      <c r="V66" s="17" t="str">
        <f t="shared" ref="V66:V129" si="10">IF(AND(S66="Unique",T66="No",U66="No",G66&lt;&gt;"Invalid",H66&lt;&gt;"Invalid"),"Yes","No")</f>
        <v>No</v>
      </c>
      <c r="W66" s="17" t="str">
        <f t="shared" ref="W66:W129" si="11">IF(ISNUMBER(B66),TEXT(B66,"MMM-YYYY"),"")</f>
        <v>Nov-2025</v>
      </c>
    </row>
    <row r="67" spans="1:23" x14ac:dyDescent="0.3">
      <c r="A67" s="17" t="str">
        <f>TRIM(Raw_Data!A67)</f>
        <v>REQ-2025-0066</v>
      </c>
      <c r="B67" s="22">
        <f>IF(Raw_Data!B67="","",IF(ISNUMBER(Raw_Data!B67),Raw_Data!B67,IF(ISNUMBER(SEARCH("/",Raw_Data!B67)),IFERROR(DATE(VALUE(RIGHT(Raw_Data!B67,4)),VALUE(MID(Raw_Data!B67,4,2)),VALUE(LEFT(Raw_Data!B67,2))),"Invalid Date"),IFERROR(DATEVALUE(Raw_Data!B67),"Invalid Date"))))</f>
        <v>45942</v>
      </c>
      <c r="C67" s="17" t="str">
        <f>IF(TRIM(Raw_Data!C67)="","",PROPER(TRIM(Raw_Data!C67)))</f>
        <v>Unit E - Medical Corps</v>
      </c>
      <c r="D67" s="17" t="str">
        <f>IF(TRIM(Raw_Data!D67)="","Not Specified",IFERROR(INDEX(Lookup_Tables!$H$6:$H$12,MATCH(TRIM(Raw_Data!D67),Lookup_Tables!$G$6:$G$12,0)),"Unknown - Review"))</f>
        <v>Central</v>
      </c>
      <c r="E67" s="17" t="str">
        <f>IF(TRIM(Raw_Data!E67)="","Not Specified",IFERROR(INDEX(Lookup_Tables!$B$6:$B$18,MATCH(TRIM(Raw_Data!E67),Lookup_Tables!$A$6:$A$18,0)),"Unknown - Review"))</f>
        <v>Uniforms &amp; Clothing</v>
      </c>
      <c r="F67" s="17" t="str">
        <f>IF(TRIM(Raw_Data!F67)="","",TRIM(Raw_Data!F67))</f>
        <v>Rain Poncho</v>
      </c>
      <c r="G67" s="17">
        <f>IF(Raw_Data!G67="","",IF(VALUE(Raw_Data!G67)&lt;=0,"Invalid",VALUE(Raw_Data!G67)))</f>
        <v>407</v>
      </c>
      <c r="H67" s="17">
        <f>IF(Raw_Data!H67="","",IF(VALUE(Raw_Data!H67)&lt;=0,"Invalid",VALUE(Raw_Data!H67)))</f>
        <v>334</v>
      </c>
      <c r="I67" s="23">
        <f>IFERROR(VALUE(SUBSTITUTE(SUBSTITUTE(Raw_Data!I67,"₹",""),",","")),"")</f>
        <v>13600</v>
      </c>
      <c r="J67" s="17" t="str">
        <f>IF(TRIM(Raw_Data!J67)="","Not Specified",PROPER(TRIM(Raw_Data!J67)))</f>
        <v>Low</v>
      </c>
      <c r="K67" s="17" t="str">
        <f>IF(TRIM(Raw_Data!K67)="","Not Specified",IFERROR(INDEX(Lookup_Tables!$E$6:$E$13,MATCH(TRIM(Raw_Data!K67),Lookup_Tables!$D$6:$D$13,0)),"Unknown - Review"))</f>
        <v>Dispatched</v>
      </c>
      <c r="L67" s="17" t="str">
        <f>IF(TRIM(Raw_Data!L67)="","",PROPER(TRIM(Raw_Data!L67)))</f>
        <v>Unit Commander</v>
      </c>
      <c r="M67" s="22">
        <f>IF(Raw_Data!M67="","",IF(ISNUMBER(Raw_Data!M67),Raw_Data!M67,IF(ISNUMBER(SEARCH("/",Raw_Data!M67)),IFERROR(DATE(VALUE(RIGHT(Raw_Data!M67,4)),VALUE(MID(Raw_Data!M67,4,2)),VALUE(LEFT(Raw_Data!M67,2))),"Invalid Date"),IFERROR(DATEVALUE(Raw_Data!M67),"Invalid Date"))))</f>
        <v>45945</v>
      </c>
      <c r="N67" s="22">
        <f>IF(Raw_Data!N67="","",IF(ISNUMBER(Raw_Data!N67),Raw_Data!N67,IF(ISNUMBER(SEARCH("/",Raw_Data!N67)),IFERROR(DATE(VALUE(RIGHT(Raw_Data!N67,4)),VALUE(MID(Raw_Data!N67,4,2)),VALUE(LEFT(Raw_Data!N67,2))),"Invalid Date"),IFERROR(DATEVALUE(Raw_Data!N67),"Invalid Date"))))</f>
        <v>45974</v>
      </c>
      <c r="O67" s="22" t="str">
        <f>IF(Raw_Data!O67="","",IF(ISNUMBER(Raw_Data!O67),Raw_Data!O67,IF(ISNUMBER(SEARCH("/",Raw_Data!O67)),IFERROR(DATE(VALUE(RIGHT(Raw_Data!O67,4)),VALUE(MID(Raw_Data!O67,4,2)),VALUE(LEFT(Raw_Data!O67,2))),"Invalid Date"),IFERROR(DATEVALUE(Raw_Data!O67),"Invalid Date"))))</f>
        <v/>
      </c>
      <c r="P67" s="17" t="str">
        <f>IF(OR(TRIM(Raw_Data!P67)="",TRIM(Raw_Data!P67)="N/A",TRIM(Raw_Data!P67)="TBD",TRIM(Raw_Data!P67)="-"),"Not Assigned",PROPER(TRIM(Raw_Data!P67)))</f>
        <v>Central Ordnance Suppliers</v>
      </c>
      <c r="Q67" s="24">
        <f t="shared" si="6"/>
        <v>4542400</v>
      </c>
      <c r="R67" s="17" t="str">
        <f t="shared" si="7"/>
        <v/>
      </c>
      <c r="S67" s="17" t="str">
        <f>IF(COUNTIF($A$2:A67,A67)&gt;1,"Duplicate","Unique")</f>
        <v>Unique</v>
      </c>
      <c r="T67" s="17" t="str">
        <f t="shared" si="8"/>
        <v>No</v>
      </c>
      <c r="U67" s="17" t="str">
        <f t="shared" si="9"/>
        <v>No</v>
      </c>
      <c r="V67" s="17" t="str">
        <f t="shared" si="10"/>
        <v>Yes</v>
      </c>
      <c r="W67" s="17" t="str">
        <f t="shared" si="11"/>
        <v>Oct-2025</v>
      </c>
    </row>
    <row r="68" spans="1:23" x14ac:dyDescent="0.3">
      <c r="A68" s="17" t="str">
        <f>TRIM(Raw_Data!A68)</f>
        <v>REQ-2025-0067</v>
      </c>
      <c r="B68" s="22">
        <f>IF(Raw_Data!B68="","",IF(ISNUMBER(Raw_Data!B68),Raw_Data!B68,IF(ISNUMBER(SEARCH("/",Raw_Data!B68)),IFERROR(DATE(VALUE(RIGHT(Raw_Data!B68,4)),VALUE(MID(Raw_Data!B68,4,2)),VALUE(LEFT(Raw_Data!B68,2))),"Invalid Date"),IFERROR(DATEVALUE(Raw_Data!B68),"Invalid Date"))))</f>
        <v>45754</v>
      </c>
      <c r="C68" s="17" t="str">
        <f>IF(TRIM(Raw_Data!C68)="","",PROPER(TRIM(Raw_Data!C68)))</f>
        <v>Unit A - Infantry</v>
      </c>
      <c r="D68" s="17" t="str">
        <f>IF(TRIM(Raw_Data!D68)="","Not Specified",IFERROR(INDEX(Lookup_Tables!$H$6:$H$12,MATCH(TRIM(Raw_Data!D68),Lookup_Tables!$G$6:$G$12,0)),"Unknown - Review"))</f>
        <v>Northern</v>
      </c>
      <c r="E68" s="17" t="str">
        <f>IF(TRIM(Raw_Data!E68)="","Not Specified",IFERROR(INDEX(Lookup_Tables!$B$6:$B$18,MATCH(TRIM(Raw_Data!E68),Lookup_Tables!$A$6:$A$18,0)),"Unknown - Review"))</f>
        <v>Rations</v>
      </c>
      <c r="F68" s="17" t="str">
        <f>IF(TRIM(Raw_Data!F68)="","",TRIM(Raw_Data!F68))</f>
        <v>Dry Ration Pack</v>
      </c>
      <c r="G68" s="17">
        <f>IF(Raw_Data!G68="","",IF(VALUE(Raw_Data!G68)&lt;=0,"Invalid",VALUE(Raw_Data!G68)))</f>
        <v>111</v>
      </c>
      <c r="H68" s="17">
        <f>IF(Raw_Data!H68="","",IF(VALUE(Raw_Data!H68)&lt;=0,"Invalid",VALUE(Raw_Data!H68)))</f>
        <v>109</v>
      </c>
      <c r="I68" s="23">
        <f>IFERROR(VALUE(SUBSTITUTE(SUBSTITUTE(Raw_Data!I68,"₹",""),",","")),"")</f>
        <v>838</v>
      </c>
      <c r="J68" s="17" t="str">
        <f>IF(TRIM(Raw_Data!J68)="","Not Specified",PROPER(TRIM(Raw_Data!J68)))</f>
        <v>Medium</v>
      </c>
      <c r="K68" s="17" t="str">
        <f>IF(TRIM(Raw_Data!K68)="","Not Specified",IFERROR(INDEX(Lookup_Tables!$E$6:$E$13,MATCH(TRIM(Raw_Data!K68),Lookup_Tables!$D$6:$D$13,0)),"Unknown - Review"))</f>
        <v>Delivered</v>
      </c>
      <c r="L68" s="17" t="str">
        <f>IF(TRIM(Raw_Data!L68)="","",PROPER(TRIM(Raw_Data!L68)))</f>
        <v>Unit Commander</v>
      </c>
      <c r="M68" s="22">
        <f>IF(Raw_Data!M68="","",IF(ISNUMBER(Raw_Data!M68),Raw_Data!M68,IF(ISNUMBER(SEARCH("/",Raw_Data!M68)),IFERROR(DATE(VALUE(RIGHT(Raw_Data!M68,4)),VALUE(MID(Raw_Data!M68,4,2)),VALUE(LEFT(Raw_Data!M68,2))),"Invalid Date"),IFERROR(DATEVALUE(Raw_Data!M68),"Invalid Date"))))</f>
        <v>45758</v>
      </c>
      <c r="N68" s="22">
        <f>IF(Raw_Data!N68="","",IF(ISNUMBER(Raw_Data!N68),Raw_Data!N68,IF(ISNUMBER(SEARCH("/",Raw_Data!N68)),IFERROR(DATE(VALUE(RIGHT(Raw_Data!N68,4)),VALUE(MID(Raw_Data!N68,4,2)),VALUE(LEFT(Raw_Data!N68,2))),"Invalid Date"),IFERROR(DATEVALUE(Raw_Data!N68),"Invalid Date"))))</f>
        <v>45786</v>
      </c>
      <c r="O68" s="22">
        <f>IF(Raw_Data!O68="","",IF(ISNUMBER(Raw_Data!O68),Raw_Data!O68,IF(ISNUMBER(SEARCH("/",Raw_Data!O68)),IFERROR(DATE(VALUE(RIGHT(Raw_Data!O68,4)),VALUE(MID(Raw_Data!O68,4,2)),VALUE(LEFT(Raw_Data!O68,2))),"Invalid Date"),IFERROR(DATEVALUE(Raw_Data!O68),"Invalid Date"))))</f>
        <v>45784</v>
      </c>
      <c r="P68" s="17" t="str">
        <f>IF(OR(TRIM(Raw_Data!P68)="",TRIM(Raw_Data!P68)="N/A",TRIM(Raw_Data!P68)="TBD",TRIM(Raw_Data!P68)="-"),"Not Assigned",PROPER(TRIM(Raw_Data!P68)))</f>
        <v>Central Ordnance Suppliers</v>
      </c>
      <c r="Q68" s="24">
        <f t="shared" si="6"/>
        <v>91342</v>
      </c>
      <c r="R68" s="17">
        <f t="shared" si="7"/>
        <v>-2</v>
      </c>
      <c r="S68" s="17" t="str">
        <f>IF(COUNTIF($A$2:A68,A68)&gt;1,"Duplicate","Unique")</f>
        <v>Unique</v>
      </c>
      <c r="T68" s="17" t="str">
        <f t="shared" si="8"/>
        <v>No</v>
      </c>
      <c r="U68" s="17" t="str">
        <f t="shared" si="9"/>
        <v>No</v>
      </c>
      <c r="V68" s="17" t="str">
        <f t="shared" si="10"/>
        <v>Yes</v>
      </c>
      <c r="W68" s="17" t="str">
        <f t="shared" si="11"/>
        <v>Apr-2025</v>
      </c>
    </row>
    <row r="69" spans="1:23" x14ac:dyDescent="0.3">
      <c r="A69" s="17" t="str">
        <f>TRIM(Raw_Data!A69)</f>
        <v>REQ-2025-0068</v>
      </c>
      <c r="B69" s="22">
        <f>IF(Raw_Data!B69="","",IF(ISNUMBER(Raw_Data!B69),Raw_Data!B69,IF(ISNUMBER(SEARCH("/",Raw_Data!B69)),IFERROR(DATE(VALUE(RIGHT(Raw_Data!B69,4)),VALUE(MID(Raw_Data!B69,4,2)),VALUE(LEFT(Raw_Data!B69,2))),"Invalid Date"),IFERROR(DATEVALUE(Raw_Data!B69),"Invalid Date"))))</f>
        <v>45666</v>
      </c>
      <c r="C69" s="17" t="str">
        <f>IF(TRIM(Raw_Data!C69)="","",PROPER(TRIM(Raw_Data!C69)))</f>
        <v>Unit F - Ordnance Depot</v>
      </c>
      <c r="D69" s="17" t="str">
        <f>IF(TRIM(Raw_Data!D69)="","Not Specified",IFERROR(INDEX(Lookup_Tables!$H$6:$H$12,MATCH(TRIM(Raw_Data!D69),Lookup_Tables!$G$6:$G$12,0)),"Unknown - Review"))</f>
        <v>Northern</v>
      </c>
      <c r="E69" s="17" t="str">
        <f>IF(TRIM(Raw_Data!E69)="","Not Specified",IFERROR(INDEX(Lookup_Tables!$B$6:$B$18,MATCH(TRIM(Raw_Data!E69),Lookup_Tables!$A$6:$A$18,0)),"Unknown - Review"))</f>
        <v>Medical Supplies</v>
      </c>
      <c r="F69" s="17" t="str">
        <f>IF(TRIM(Raw_Data!F69)="","",TRIM(Raw_Data!F69))</f>
        <v>Surgical Gloves (Box)</v>
      </c>
      <c r="G69" s="17">
        <f>IF(Raw_Data!G69="","",IF(VALUE(Raw_Data!G69)&lt;=0,"Invalid",VALUE(Raw_Data!G69)))</f>
        <v>83</v>
      </c>
      <c r="H69" s="17">
        <f>IF(Raw_Data!H69="","",IF(VALUE(Raw_Data!H69)&lt;=0,"Invalid",VALUE(Raw_Data!H69)))</f>
        <v>72</v>
      </c>
      <c r="I69" s="23">
        <f>IFERROR(VALUE(SUBSTITUTE(SUBSTITUTE(Raw_Data!I69,"₹",""),",","")),"")</f>
        <v>11170.99</v>
      </c>
      <c r="J69" s="17" t="str">
        <f>IF(TRIM(Raw_Data!J69)="","Not Specified",PROPER(TRIM(Raw_Data!J69)))</f>
        <v>Routine</v>
      </c>
      <c r="K69" s="17" t="str">
        <f>IF(TRIM(Raw_Data!K69)="","Not Specified",IFERROR(INDEX(Lookup_Tables!$E$6:$E$13,MATCH(TRIM(Raw_Data!K69),Lookup_Tables!$D$6:$D$13,0)),"Unknown - Review"))</f>
        <v>Approved</v>
      </c>
      <c r="L69" s="17" t="str">
        <f>IF(TRIM(Raw_Data!L69)="","",PROPER(TRIM(Raw_Data!L69)))</f>
        <v>Stores Officer</v>
      </c>
      <c r="M69" s="22" t="str">
        <f>IF(Raw_Data!M69="","",IF(ISNUMBER(Raw_Data!M69),Raw_Data!M69,IF(ISNUMBER(SEARCH("/",Raw_Data!M69)),IFERROR(DATE(VALUE(RIGHT(Raw_Data!M69,4)),VALUE(MID(Raw_Data!M69,4,2)),VALUE(LEFT(Raw_Data!M69,2))),"Invalid Date"),IFERROR(DATEVALUE(Raw_Data!M69),"Invalid Date"))))</f>
        <v/>
      </c>
      <c r="N69" s="22" t="str">
        <f>IF(Raw_Data!N69="","",IF(ISNUMBER(Raw_Data!N69),Raw_Data!N69,IF(ISNUMBER(SEARCH("/",Raw_Data!N69)),IFERROR(DATE(VALUE(RIGHT(Raw_Data!N69,4)),VALUE(MID(Raw_Data!N69,4,2)),VALUE(LEFT(Raw_Data!N69,2))),"Invalid Date"),IFERROR(DATEVALUE(Raw_Data!N69),"Invalid Date"))))</f>
        <v/>
      </c>
      <c r="O69" s="22" t="str">
        <f>IF(Raw_Data!O69="","",IF(ISNUMBER(Raw_Data!O69),Raw_Data!O69,IF(ISNUMBER(SEARCH("/",Raw_Data!O69)),IFERROR(DATE(VALUE(RIGHT(Raw_Data!O69,4)),VALUE(MID(Raw_Data!O69,4,2)),VALUE(LEFT(Raw_Data!O69,2))),"Invalid Date"),IFERROR(DATEVALUE(Raw_Data!O69),"Invalid Date"))))</f>
        <v/>
      </c>
      <c r="P69" s="17" t="str">
        <f>IF(OR(TRIM(Raw_Data!P69)="",TRIM(Raw_Data!P69)="N/A",TRIM(Raw_Data!P69)="TBD",TRIM(Raw_Data!P69)="-"),"Not Assigned",PROPER(TRIM(Raw_Data!P69)))</f>
        <v>Om Suppliers</v>
      </c>
      <c r="Q69" s="24">
        <f t="shared" si="6"/>
        <v>804311.28</v>
      </c>
      <c r="R69" s="17" t="str">
        <f t="shared" si="7"/>
        <v/>
      </c>
      <c r="S69" s="17" t="str">
        <f>IF(COUNTIF($A$2:A69,A69)&gt;1,"Duplicate","Unique")</f>
        <v>Unique</v>
      </c>
      <c r="T69" s="17" t="str">
        <f t="shared" si="8"/>
        <v>No</v>
      </c>
      <c r="U69" s="17" t="str">
        <f t="shared" si="9"/>
        <v>No</v>
      </c>
      <c r="V69" s="17" t="str">
        <f t="shared" si="10"/>
        <v>Yes</v>
      </c>
      <c r="W69" s="17" t="str">
        <f t="shared" si="11"/>
        <v>Jan-2025</v>
      </c>
    </row>
    <row r="70" spans="1:23" x14ac:dyDescent="0.3">
      <c r="A70" s="17" t="str">
        <f>TRIM(Raw_Data!A70)</f>
        <v>REQ-2025-0069</v>
      </c>
      <c r="B70" s="22" t="str">
        <f>IF(Raw_Data!B70="","",IF(ISNUMBER(Raw_Data!B70),Raw_Data!B70,IF(ISNUMBER(SEARCH("/",Raw_Data!B70)),IFERROR(DATE(VALUE(RIGHT(Raw_Data!B70,4)),VALUE(MID(Raw_Data!B70,4,2)),VALUE(LEFT(Raw_Data!B70,2))),"Invalid Date"),IFERROR(DATEVALUE(Raw_Data!B70),"Invalid Date"))))</f>
        <v/>
      </c>
      <c r="C70" s="17" t="str">
        <f>IF(TRIM(Raw_Data!C70)="","",PROPER(TRIM(Raw_Data!C70)))</f>
        <v>Unit A - Infantry</v>
      </c>
      <c r="D70" s="17" t="str">
        <f>IF(TRIM(Raw_Data!D70)="","Not Specified",IFERROR(INDEX(Lookup_Tables!$H$6:$H$12,MATCH(TRIM(Raw_Data!D70),Lookup_Tables!$G$6:$G$12,0)),"Unknown - Review"))</f>
        <v>Northern</v>
      </c>
      <c r="E70" s="17" t="str">
        <f>IF(TRIM(Raw_Data!E70)="","Not Specified",IFERROR(INDEX(Lookup_Tables!$B$6:$B$18,MATCH(TRIM(Raw_Data!E70),Lookup_Tables!$A$6:$A$18,0)),"Unknown - Review"))</f>
        <v>Construction Material</v>
      </c>
      <c r="F70" s="17" t="str">
        <f>IF(TRIM(Raw_Data!F70)="","",TRIM(Raw_Data!F70))</f>
        <v>Steel Rod Bundle</v>
      </c>
      <c r="G70" s="17">
        <f>IF(Raw_Data!G70="","",IF(VALUE(Raw_Data!G70)&lt;=0,"Invalid",VALUE(Raw_Data!G70)))</f>
        <v>116</v>
      </c>
      <c r="H70" s="17">
        <f>IF(Raw_Data!H70="","",IF(VALUE(Raw_Data!H70)&lt;=0,"Invalid",VALUE(Raw_Data!H70)))</f>
        <v>102</v>
      </c>
      <c r="I70" s="23">
        <f>IFERROR(VALUE(SUBSTITUTE(SUBSTITUTE(Raw_Data!I70,"₹",""),",","")),"")</f>
        <v>30054</v>
      </c>
      <c r="J70" s="17" t="str">
        <f>IF(TRIM(Raw_Data!J70)="","Not Specified",PROPER(TRIM(Raw_Data!J70)))</f>
        <v>Medium</v>
      </c>
      <c r="K70" s="17" t="str">
        <f>IF(TRIM(Raw_Data!K70)="","Not Specified",IFERROR(INDEX(Lookup_Tables!$E$6:$E$13,MATCH(TRIM(Raw_Data!K70),Lookup_Tables!$D$6:$D$13,0)),"Unknown - Review"))</f>
        <v>Approved</v>
      </c>
      <c r="L70" s="17" t="str">
        <f>IF(TRIM(Raw_Data!L70)="","",PROPER(TRIM(Raw_Data!L70)))</f>
        <v>Quartermaster</v>
      </c>
      <c r="M70" s="22">
        <f>IF(Raw_Data!M70="","",IF(ISNUMBER(Raw_Data!M70),Raw_Data!M70,IF(ISNUMBER(SEARCH("/",Raw_Data!M70)),IFERROR(DATE(VALUE(RIGHT(Raw_Data!M70,4)),VALUE(MID(Raw_Data!M70,4,2)),VALUE(LEFT(Raw_Data!M70,2))),"Invalid Date"),IFERROR(DATEVALUE(Raw_Data!M70),"Invalid Date"))))</f>
        <v>45990</v>
      </c>
      <c r="N70" s="22">
        <f>IF(Raw_Data!N70="","",IF(ISNUMBER(Raw_Data!N70),Raw_Data!N70,IF(ISNUMBER(SEARCH("/",Raw_Data!N70)),IFERROR(DATE(VALUE(RIGHT(Raw_Data!N70,4)),VALUE(MID(Raw_Data!N70,4,2)),VALUE(LEFT(Raw_Data!N70,2))),"Invalid Date"),IFERROR(DATEVALUE(Raw_Data!N70),"Invalid Date"))))</f>
        <v>46010</v>
      </c>
      <c r="O70" s="22" t="str">
        <f>IF(Raw_Data!O70="","",IF(ISNUMBER(Raw_Data!O70),Raw_Data!O70,IF(ISNUMBER(SEARCH("/",Raw_Data!O70)),IFERROR(DATE(VALUE(RIGHT(Raw_Data!O70,4)),VALUE(MID(Raw_Data!O70,4,2)),VALUE(LEFT(Raw_Data!O70,2))),"Invalid Date"),IFERROR(DATEVALUE(Raw_Data!O70),"Invalid Date"))))</f>
        <v/>
      </c>
      <c r="P70" s="17" t="str">
        <f>IF(OR(TRIM(Raw_Data!P70)="",TRIM(Raw_Data!P70)="N/A",TRIM(Raw_Data!P70)="TBD",TRIM(Raw_Data!P70)="-"),"Not Assigned",PROPER(TRIM(Raw_Data!P70)))</f>
        <v>Central Ordnance Suppliers</v>
      </c>
      <c r="Q70" s="24">
        <f t="shared" si="6"/>
        <v>3065508</v>
      </c>
      <c r="R70" s="17" t="str">
        <f t="shared" si="7"/>
        <v/>
      </c>
      <c r="S70" s="17" t="str">
        <f>IF(COUNTIF($A$2:A70,A70)&gt;1,"Duplicate","Unique")</f>
        <v>Unique</v>
      </c>
      <c r="T70" s="17" t="str">
        <f t="shared" si="8"/>
        <v>No</v>
      </c>
      <c r="U70" s="17" t="str">
        <f t="shared" si="9"/>
        <v>No</v>
      </c>
      <c r="V70" s="17" t="str">
        <f t="shared" si="10"/>
        <v>Yes</v>
      </c>
      <c r="W70" s="17" t="str">
        <f t="shared" si="11"/>
        <v/>
      </c>
    </row>
    <row r="71" spans="1:23" x14ac:dyDescent="0.3">
      <c r="A71" s="17" t="str">
        <f>TRIM(Raw_Data!A71)</f>
        <v>REQ-2025-0070</v>
      </c>
      <c r="B71" s="22">
        <f>IF(Raw_Data!B71="","",IF(ISNUMBER(Raw_Data!B71),Raw_Data!B71,IF(ISNUMBER(SEARCH("/",Raw_Data!B71)),IFERROR(DATE(VALUE(RIGHT(Raw_Data!B71,4)),VALUE(MID(Raw_Data!B71,4,2)),VALUE(LEFT(Raw_Data!B71,2))),"Invalid Date"),IFERROR(DATEVALUE(Raw_Data!B71),"Invalid Date"))))</f>
        <v>45849</v>
      </c>
      <c r="C71" s="17" t="str">
        <f>IF(TRIM(Raw_Data!C71)="","",PROPER(TRIM(Raw_Data!C71)))</f>
        <v>Unit F - Ordnance Depot</v>
      </c>
      <c r="D71" s="17" t="str">
        <f>IF(TRIM(Raw_Data!D71)="","Not Specified",IFERROR(INDEX(Lookup_Tables!$H$6:$H$12,MATCH(TRIM(Raw_Data!D71),Lookup_Tables!$G$6:$G$12,0)),"Unknown - Review"))</f>
        <v>Northern</v>
      </c>
      <c r="E71" s="17" t="str">
        <f>IF(TRIM(Raw_Data!E71)="","Not Specified",IFERROR(INDEX(Lookup_Tables!$B$6:$B$18,MATCH(TRIM(Raw_Data!E71),Lookup_Tables!$A$6:$A$18,0)),"Unknown - Review"))</f>
        <v>Construction Material</v>
      </c>
      <c r="F71" s="17" t="str">
        <f>IF(TRIM(Raw_Data!F71)="","",TRIM(Raw_Data!F71))</f>
        <v>Cement Bag (50kg)</v>
      </c>
      <c r="G71" s="17">
        <f>IF(Raw_Data!G71="","",IF(VALUE(Raw_Data!G71)&lt;=0,"Invalid",VALUE(Raw_Data!G71)))</f>
        <v>361</v>
      </c>
      <c r="H71" s="17">
        <f>IF(Raw_Data!H71="","",IF(VALUE(Raw_Data!H71)&lt;=0,"Invalid",VALUE(Raw_Data!H71)))</f>
        <v>344</v>
      </c>
      <c r="I71" s="23">
        <f>IFERROR(VALUE(SUBSTITUTE(SUBSTITUTE(Raw_Data!I71,"₹",""),",","")),"")</f>
        <v>29470.05</v>
      </c>
      <c r="J71" s="17" t="str">
        <f>IF(TRIM(Raw_Data!J71)="","Not Specified",PROPER(TRIM(Raw_Data!J71)))</f>
        <v>Routine</v>
      </c>
      <c r="K71" s="17" t="str">
        <f>IF(TRIM(Raw_Data!K71)="","Not Specified",IFERROR(INDEX(Lookup_Tables!$E$6:$E$13,MATCH(TRIM(Raw_Data!K71),Lookup_Tables!$D$6:$D$13,0)),"Unknown - Review"))</f>
        <v>Delivered</v>
      </c>
      <c r="L71" s="17" t="str">
        <f>IF(TRIM(Raw_Data!L71)="","",PROPER(TRIM(Raw_Data!L71)))</f>
        <v>Logistics Officer</v>
      </c>
      <c r="M71" s="22">
        <f>IF(Raw_Data!M71="","",IF(ISNUMBER(Raw_Data!M71),Raw_Data!M71,IF(ISNUMBER(SEARCH("/",Raw_Data!M71)),IFERROR(DATE(VALUE(RIGHT(Raw_Data!M71,4)),VALUE(MID(Raw_Data!M71,4,2)),VALUE(LEFT(Raw_Data!M71,2))),"Invalid Date"),IFERROR(DATEVALUE(Raw_Data!M71),"Invalid Date"))))</f>
        <v>45850</v>
      </c>
      <c r="N71" s="22">
        <f>IF(Raw_Data!N71="","",IF(ISNUMBER(Raw_Data!N71),Raw_Data!N71,IF(ISNUMBER(SEARCH("/",Raw_Data!N71)),IFERROR(DATE(VALUE(RIGHT(Raw_Data!N71,4)),VALUE(MID(Raw_Data!N71,4,2)),VALUE(LEFT(Raw_Data!N71,2))),"Invalid Date"),IFERROR(DATEVALUE(Raw_Data!N71),"Invalid Date"))))</f>
        <v>45857</v>
      </c>
      <c r="O71" s="22">
        <f>IF(Raw_Data!O71="","",IF(ISNUMBER(Raw_Data!O71),Raw_Data!O71,IF(ISNUMBER(SEARCH("/",Raw_Data!O71)),IFERROR(DATE(VALUE(RIGHT(Raw_Data!O71,4)),VALUE(MID(Raw_Data!O71,4,2)),VALUE(LEFT(Raw_Data!O71,2))),"Invalid Date"),IFERROR(DATEVALUE(Raw_Data!O71),"Invalid Date"))))</f>
        <v>45864</v>
      </c>
      <c r="P71" s="17" t="str">
        <f>IF(OR(TRIM(Raw_Data!P71)="",TRIM(Raw_Data!P71)="N/A",TRIM(Raw_Data!P71)="TBD",TRIM(Raw_Data!P71)="-"),"Not Assigned",PROPER(TRIM(Raw_Data!P71)))</f>
        <v>Rapid Vendors Ltd</v>
      </c>
      <c r="Q71" s="24">
        <f t="shared" si="6"/>
        <v>10137697.199999999</v>
      </c>
      <c r="R71" s="17">
        <f t="shared" si="7"/>
        <v>7</v>
      </c>
      <c r="S71" s="17" t="str">
        <f>IF(COUNTIF($A$2:A71,A71)&gt;1,"Duplicate","Unique")</f>
        <v>Unique</v>
      </c>
      <c r="T71" s="17" t="str">
        <f t="shared" si="8"/>
        <v>No</v>
      </c>
      <c r="U71" s="17" t="str">
        <f t="shared" si="9"/>
        <v>No</v>
      </c>
      <c r="V71" s="17" t="str">
        <f t="shared" si="10"/>
        <v>Yes</v>
      </c>
      <c r="W71" s="17" t="str">
        <f t="shared" si="11"/>
        <v>Jul-2025</v>
      </c>
    </row>
    <row r="72" spans="1:23" x14ac:dyDescent="0.3">
      <c r="A72" s="17" t="str">
        <f>TRIM(Raw_Data!A72)</f>
        <v>REQ-2025-0071</v>
      </c>
      <c r="B72" s="22">
        <f>IF(Raw_Data!B72="","",IF(ISNUMBER(Raw_Data!B72),Raw_Data!B72,IF(ISNUMBER(SEARCH("/",Raw_Data!B72)),IFERROR(DATE(VALUE(RIGHT(Raw_Data!B72,4)),VALUE(MID(Raw_Data!B72,4,2)),VALUE(LEFT(Raw_Data!B72,2))),"Invalid Date"),IFERROR(DATEVALUE(Raw_Data!B72),"Invalid Date"))))</f>
        <v>45819</v>
      </c>
      <c r="C72" s="17" t="str">
        <f>IF(TRIM(Raw_Data!C72)="","",PROPER(TRIM(Raw_Data!C72)))</f>
        <v>Unit E - Medical Corps</v>
      </c>
      <c r="D72" s="17" t="str">
        <f>IF(TRIM(Raw_Data!D72)="","Not Specified",IFERROR(INDEX(Lookup_Tables!$H$6:$H$12,MATCH(TRIM(Raw_Data!D72),Lookup_Tables!$G$6:$G$12,0)),"Unknown - Review"))</f>
        <v>Central</v>
      </c>
      <c r="E72" s="17" t="str">
        <f>IF(TRIM(Raw_Data!E72)="","Not Specified",IFERROR(INDEX(Lookup_Tables!$B$6:$B$18,MATCH(TRIM(Raw_Data!E72),Lookup_Tables!$A$6:$A$18,0)),"Unknown - Review"))</f>
        <v>Rations</v>
      </c>
      <c r="F72" s="17" t="str">
        <f>IF(TRIM(Raw_Data!F72)="","",TRIM(Raw_Data!F72))</f>
        <v>Canned Vegetables</v>
      </c>
      <c r="G72" s="17">
        <f>IF(Raw_Data!G72="","",IF(VALUE(Raw_Data!G72)&lt;=0,"Invalid",VALUE(Raw_Data!G72)))</f>
        <v>390</v>
      </c>
      <c r="H72" s="17" t="str">
        <f>IF(Raw_Data!H72="","",IF(VALUE(Raw_Data!H72)&lt;=0,"Invalid",VALUE(Raw_Data!H72)))</f>
        <v/>
      </c>
      <c r="I72" s="23">
        <f>IFERROR(VALUE(SUBSTITUTE(SUBSTITUTE(Raw_Data!I72,"₹",""),",","")),"")</f>
        <v>36967.47</v>
      </c>
      <c r="J72" s="17" t="str">
        <f>IF(TRIM(Raw_Data!J72)="","Not Specified",PROPER(TRIM(Raw_Data!J72)))</f>
        <v>Medium</v>
      </c>
      <c r="K72" s="17" t="str">
        <f>IF(TRIM(Raw_Data!K72)="","Not Specified",IFERROR(INDEX(Lookup_Tables!$E$6:$E$13,MATCH(TRIM(Raw_Data!K72),Lookup_Tables!$D$6:$D$13,0)),"Unknown - Review"))</f>
        <v>Pending</v>
      </c>
      <c r="L72" s="17" t="str">
        <f>IF(TRIM(Raw_Data!L72)="","",PROPER(TRIM(Raw_Data!L72)))</f>
        <v>Logistics Officer</v>
      </c>
      <c r="M72" s="22" t="str">
        <f>IF(Raw_Data!M72="","",IF(ISNUMBER(Raw_Data!M72),Raw_Data!M72,IF(ISNUMBER(SEARCH("/",Raw_Data!M72)),IFERROR(DATE(VALUE(RIGHT(Raw_Data!M72,4)),VALUE(MID(Raw_Data!M72,4,2)),VALUE(LEFT(Raw_Data!M72,2))),"Invalid Date"),IFERROR(DATEVALUE(Raw_Data!M72),"Invalid Date"))))</f>
        <v/>
      </c>
      <c r="N72" s="22" t="str">
        <f>IF(Raw_Data!N72="","",IF(ISNUMBER(Raw_Data!N72),Raw_Data!N72,IF(ISNUMBER(SEARCH("/",Raw_Data!N72)),IFERROR(DATE(VALUE(RIGHT(Raw_Data!N72,4)),VALUE(MID(Raw_Data!N72,4,2)),VALUE(LEFT(Raw_Data!N72,2))),"Invalid Date"),IFERROR(DATEVALUE(Raw_Data!N72),"Invalid Date"))))</f>
        <v/>
      </c>
      <c r="O72" s="22" t="str">
        <f>IF(Raw_Data!O72="","",IF(ISNUMBER(Raw_Data!O72),Raw_Data!O72,IF(ISNUMBER(SEARCH("/",Raw_Data!O72)),IFERROR(DATE(VALUE(RIGHT(Raw_Data!O72,4)),VALUE(MID(Raw_Data!O72,4,2)),VALUE(LEFT(Raw_Data!O72,2))),"Invalid Date"),IFERROR(DATEVALUE(Raw_Data!O72),"Invalid Date"))))</f>
        <v/>
      </c>
      <c r="P72" s="17" t="str">
        <f>IF(OR(TRIM(Raw_Data!P72)="",TRIM(Raw_Data!P72)="N/A",TRIM(Raw_Data!P72)="TBD",TRIM(Raw_Data!P72)="-"),"Not Assigned",PROPER(TRIM(Raw_Data!P72)))</f>
        <v>Not Assigned</v>
      </c>
      <c r="Q72" s="24" t="str">
        <f t="shared" si="6"/>
        <v/>
      </c>
      <c r="R72" s="17" t="str">
        <f t="shared" si="7"/>
        <v/>
      </c>
      <c r="S72" s="17" t="str">
        <f>IF(COUNTIF($A$2:A72,A72)&gt;1,"Duplicate","Unique")</f>
        <v>Unique</v>
      </c>
      <c r="T72" s="17" t="str">
        <f t="shared" si="8"/>
        <v>No</v>
      </c>
      <c r="U72" s="17" t="str">
        <f t="shared" si="9"/>
        <v>No</v>
      </c>
      <c r="V72" s="17" t="str">
        <f t="shared" si="10"/>
        <v>Yes</v>
      </c>
      <c r="W72" s="17" t="str">
        <f t="shared" si="11"/>
        <v>Jun-2025</v>
      </c>
    </row>
    <row r="73" spans="1:23" x14ac:dyDescent="0.3">
      <c r="A73" s="17" t="str">
        <f>TRIM(Raw_Data!A73)</f>
        <v>REQ-2025-0072</v>
      </c>
      <c r="B73" s="22">
        <f>IF(Raw_Data!B73="","",IF(ISNUMBER(Raw_Data!B73),Raw_Data!B73,IF(ISNUMBER(SEARCH("/",Raw_Data!B73)),IFERROR(DATE(VALUE(RIGHT(Raw_Data!B73,4)),VALUE(MID(Raw_Data!B73,4,2)),VALUE(LEFT(Raw_Data!B73,2))),"Invalid Date"),IFERROR(DATEVALUE(Raw_Data!B73),"Invalid Date"))))</f>
        <v>45673</v>
      </c>
      <c r="C73" s="17" t="str">
        <f>IF(TRIM(Raw_Data!C73)="","",PROPER(TRIM(Raw_Data!C73)))</f>
        <v>Unit F - Ordnance Depot</v>
      </c>
      <c r="D73" s="17" t="str">
        <f>IF(TRIM(Raw_Data!D73)="","Not Specified",IFERROR(INDEX(Lookup_Tables!$H$6:$H$12,MATCH(TRIM(Raw_Data!D73),Lookup_Tables!$G$6:$G$12,0)),"Unknown - Review"))</f>
        <v>Northern</v>
      </c>
      <c r="E73" s="17" t="str">
        <f>IF(TRIM(Raw_Data!E73)="","Not Specified",IFERROR(INDEX(Lookup_Tables!$B$6:$B$18,MATCH(TRIM(Raw_Data!E73),Lookup_Tables!$A$6:$A$18,0)),"Unknown - Review"))</f>
        <v>Construction Material</v>
      </c>
      <c r="F73" s="17" t="str">
        <f>IF(TRIM(Raw_Data!F73)="","",TRIM(Raw_Data!F73))</f>
        <v>Sandbag (Pack of 50)</v>
      </c>
      <c r="G73" s="17">
        <f>IF(Raw_Data!G73="","",IF(VALUE(Raw_Data!G73)&lt;=0,"Invalid",VALUE(Raw_Data!G73)))</f>
        <v>121</v>
      </c>
      <c r="H73" s="17">
        <f>IF(Raw_Data!H73="","",IF(VALUE(Raw_Data!H73)&lt;=0,"Invalid",VALUE(Raw_Data!H73)))</f>
        <v>100</v>
      </c>
      <c r="I73" s="23">
        <f>IFERROR(VALUE(SUBSTITUTE(SUBSTITUTE(Raw_Data!I73,"₹",""),",","")),"")</f>
        <v>30634</v>
      </c>
      <c r="J73" s="17" t="str">
        <f>IF(TRIM(Raw_Data!J73)="","Not Specified",PROPER(TRIM(Raw_Data!J73)))</f>
        <v>Routine</v>
      </c>
      <c r="K73" s="17" t="str">
        <f>IF(TRIM(Raw_Data!K73)="","Not Specified",IFERROR(INDEX(Lookup_Tables!$E$6:$E$13,MATCH(TRIM(Raw_Data!K73),Lookup_Tables!$D$6:$D$13,0)),"Unknown - Review"))</f>
        <v>Dispatched</v>
      </c>
      <c r="L73" s="17" t="str">
        <f>IF(TRIM(Raw_Data!L73)="","",PROPER(TRIM(Raw_Data!L73)))</f>
        <v>Unit Commander</v>
      </c>
      <c r="M73" s="22" t="str">
        <f>IF(Raw_Data!M73="","",IF(ISNUMBER(Raw_Data!M73),Raw_Data!M73,IF(ISNUMBER(SEARCH("/",Raw_Data!M73)),IFERROR(DATE(VALUE(RIGHT(Raw_Data!M73,4)),VALUE(MID(Raw_Data!M73,4,2)),VALUE(LEFT(Raw_Data!M73,2))),"Invalid Date"),IFERROR(DATEVALUE(Raw_Data!M73),"Invalid Date"))))</f>
        <v/>
      </c>
      <c r="N73" s="22" t="str">
        <f>IF(Raw_Data!N73="","",IF(ISNUMBER(Raw_Data!N73),Raw_Data!N73,IF(ISNUMBER(SEARCH("/",Raw_Data!N73)),IFERROR(DATE(VALUE(RIGHT(Raw_Data!N73,4)),VALUE(MID(Raw_Data!N73,4,2)),VALUE(LEFT(Raw_Data!N73,2))),"Invalid Date"),IFERROR(DATEVALUE(Raw_Data!N73),"Invalid Date"))))</f>
        <v/>
      </c>
      <c r="O73" s="22" t="str">
        <f>IF(Raw_Data!O73="","",IF(ISNUMBER(Raw_Data!O73),Raw_Data!O73,IF(ISNUMBER(SEARCH("/",Raw_Data!O73)),IFERROR(DATE(VALUE(RIGHT(Raw_Data!O73,4)),VALUE(MID(Raw_Data!O73,4,2)),VALUE(LEFT(Raw_Data!O73,2))),"Invalid Date"),IFERROR(DATEVALUE(Raw_Data!O73),"Invalid Date"))))</f>
        <v/>
      </c>
      <c r="P73" s="17" t="str">
        <f>IF(OR(TRIM(Raw_Data!P73)="",TRIM(Raw_Data!P73)="N/A",TRIM(Raw_Data!P73)="TBD",TRIM(Raw_Data!P73)="-"),"Not Assigned",PROPER(TRIM(Raw_Data!P73)))</f>
        <v>Shakti Traders</v>
      </c>
      <c r="Q73" s="24">
        <f t="shared" si="6"/>
        <v>3063400</v>
      </c>
      <c r="R73" s="17" t="str">
        <f t="shared" si="7"/>
        <v/>
      </c>
      <c r="S73" s="17" t="str">
        <f>IF(COUNTIF($A$2:A73,A73)&gt;1,"Duplicate","Unique")</f>
        <v>Unique</v>
      </c>
      <c r="T73" s="17" t="str">
        <f t="shared" si="8"/>
        <v>No</v>
      </c>
      <c r="U73" s="17" t="str">
        <f t="shared" si="9"/>
        <v>No</v>
      </c>
      <c r="V73" s="17" t="str">
        <f t="shared" si="10"/>
        <v>Yes</v>
      </c>
      <c r="W73" s="17" t="str">
        <f t="shared" si="11"/>
        <v>Jan-2025</v>
      </c>
    </row>
    <row r="74" spans="1:23" x14ac:dyDescent="0.3">
      <c r="A74" s="17" t="str">
        <f>TRIM(Raw_Data!A74)</f>
        <v>REQ-2025-0073</v>
      </c>
      <c r="B74" s="22">
        <f>IF(Raw_Data!B74="","",IF(ISNUMBER(Raw_Data!B74),Raw_Data!B74,IF(ISNUMBER(SEARCH("/",Raw_Data!B74)),IFERROR(DATE(VALUE(RIGHT(Raw_Data!B74,4)),VALUE(MID(Raw_Data!B74,4,2)),VALUE(LEFT(Raw_Data!B74,2))),"Invalid Date"),IFERROR(DATEVALUE(Raw_Data!B74),"Invalid Date"))))</f>
        <v>45941</v>
      </c>
      <c r="C74" s="17" t="str">
        <f>IF(TRIM(Raw_Data!C74)="","",PROPER(TRIM(Raw_Data!C74)))</f>
        <v>Unit G - Transport Corps</v>
      </c>
      <c r="D74" s="17" t="str">
        <f>IF(TRIM(Raw_Data!D74)="","Not Specified",IFERROR(INDEX(Lookup_Tables!$H$6:$H$12,MATCH(TRIM(Raw_Data!D74),Lookup_Tables!$G$6:$G$12,0)),"Unknown - Review"))</f>
        <v>Southern</v>
      </c>
      <c r="E74" s="17" t="str">
        <f>IF(TRIM(Raw_Data!E74)="","Not Specified",IFERROR(INDEX(Lookup_Tables!$B$6:$B$18,MATCH(TRIM(Raw_Data!E74),Lookup_Tables!$A$6:$A$18,0)),"Unknown - Review"))</f>
        <v>Vehicle Spares</v>
      </c>
      <c r="F74" s="17" t="str">
        <f>IF(TRIM(Raw_Data!F74)="","",TRIM(Raw_Data!F74))</f>
        <v>Engine Oil Filter</v>
      </c>
      <c r="G74" s="17">
        <f>IF(Raw_Data!G74="","",IF(VALUE(Raw_Data!G74)&lt;=0,"Invalid",VALUE(Raw_Data!G74)))</f>
        <v>11</v>
      </c>
      <c r="H74" s="17" t="str">
        <f>IF(Raw_Data!H74="","",IF(VALUE(Raw_Data!H74)&lt;=0,"Invalid",VALUE(Raw_Data!H74)))</f>
        <v/>
      </c>
      <c r="I74" s="23" t="str">
        <f>IFERROR(VALUE(SUBSTITUTE(SUBSTITUTE(Raw_Data!I74,"₹",""),",","")),"")</f>
        <v/>
      </c>
      <c r="J74" s="17" t="str">
        <f>IF(TRIM(Raw_Data!J74)="","Not Specified",PROPER(TRIM(Raw_Data!J74)))</f>
        <v>Low</v>
      </c>
      <c r="K74" s="17" t="str">
        <f>IF(TRIM(Raw_Data!K74)="","Not Specified",IFERROR(INDEX(Lookup_Tables!$E$6:$E$13,MATCH(TRIM(Raw_Data!K74),Lookup_Tables!$D$6:$D$13,0)),"Unknown - Review"))</f>
        <v>Pending</v>
      </c>
      <c r="L74" s="17" t="str">
        <f>IF(TRIM(Raw_Data!L74)="","",PROPER(TRIM(Raw_Data!L74)))</f>
        <v>Unit Commander</v>
      </c>
      <c r="M74" s="22" t="str">
        <f>IF(Raw_Data!M74="","",IF(ISNUMBER(Raw_Data!M74),Raw_Data!M74,IF(ISNUMBER(SEARCH("/",Raw_Data!M74)),IFERROR(DATE(VALUE(RIGHT(Raw_Data!M74,4)),VALUE(MID(Raw_Data!M74,4,2)),VALUE(LEFT(Raw_Data!M74,2))),"Invalid Date"),IFERROR(DATEVALUE(Raw_Data!M74),"Invalid Date"))))</f>
        <v/>
      </c>
      <c r="N74" s="22" t="str">
        <f>IF(Raw_Data!N74="","",IF(ISNUMBER(Raw_Data!N74),Raw_Data!N74,IF(ISNUMBER(SEARCH("/",Raw_Data!N74)),IFERROR(DATE(VALUE(RIGHT(Raw_Data!N74,4)),VALUE(MID(Raw_Data!N74,4,2)),VALUE(LEFT(Raw_Data!N74,2))),"Invalid Date"),IFERROR(DATEVALUE(Raw_Data!N74),"Invalid Date"))))</f>
        <v/>
      </c>
      <c r="O74" s="22" t="str">
        <f>IF(Raw_Data!O74="","",IF(ISNUMBER(Raw_Data!O74),Raw_Data!O74,IF(ISNUMBER(SEARCH("/",Raw_Data!O74)),IFERROR(DATE(VALUE(RIGHT(Raw_Data!O74,4)),VALUE(MID(Raw_Data!O74,4,2)),VALUE(LEFT(Raw_Data!O74,2))),"Invalid Date"),IFERROR(DATEVALUE(Raw_Data!O74),"Invalid Date"))))</f>
        <v/>
      </c>
      <c r="P74" s="17" t="str">
        <f>IF(OR(TRIM(Raw_Data!P74)="",TRIM(Raw_Data!P74)="N/A",TRIM(Raw_Data!P74)="TBD",TRIM(Raw_Data!P74)="-"),"Not Assigned",PROPER(TRIM(Raw_Data!P74)))</f>
        <v>Vikram Enterprises</v>
      </c>
      <c r="Q74" s="24" t="str">
        <f t="shared" si="6"/>
        <v/>
      </c>
      <c r="R74" s="17" t="str">
        <f t="shared" si="7"/>
        <v/>
      </c>
      <c r="S74" s="17" t="str">
        <f>IF(COUNTIF($A$2:A74,A74)&gt;1,"Duplicate","Unique")</f>
        <v>Unique</v>
      </c>
      <c r="T74" s="17" t="str">
        <f t="shared" si="8"/>
        <v>No</v>
      </c>
      <c r="U74" s="17" t="str">
        <f t="shared" si="9"/>
        <v>No</v>
      </c>
      <c r="V74" s="17" t="str">
        <f t="shared" si="10"/>
        <v>Yes</v>
      </c>
      <c r="W74" s="17" t="str">
        <f t="shared" si="11"/>
        <v>Oct-2025</v>
      </c>
    </row>
    <row r="75" spans="1:23" x14ac:dyDescent="0.3">
      <c r="A75" s="17" t="str">
        <f>TRIM(Raw_Data!A75)</f>
        <v>REQ-2025-0074</v>
      </c>
      <c r="B75" s="22">
        <f>IF(Raw_Data!B75="","",IF(ISNUMBER(Raw_Data!B75),Raw_Data!B75,IF(ISNUMBER(SEARCH("/",Raw_Data!B75)),IFERROR(DATE(VALUE(RIGHT(Raw_Data!B75,4)),VALUE(MID(Raw_Data!B75,4,2)),VALUE(LEFT(Raw_Data!B75,2))),"Invalid Date"),IFERROR(DATEVALUE(Raw_Data!B75),"Invalid Date"))))</f>
        <v>45661</v>
      </c>
      <c r="C75" s="17" t="str">
        <f>IF(TRIM(Raw_Data!C75)="","",PROPER(TRIM(Raw_Data!C75)))</f>
        <v>Unit D - Signals</v>
      </c>
      <c r="D75" s="17" t="str">
        <f>IF(TRIM(Raw_Data!D75)="","Not Specified",IFERROR(INDEX(Lookup_Tables!$H$6:$H$12,MATCH(TRIM(Raw_Data!D75),Lookup_Tables!$G$6:$G$12,0)),"Unknown - Review"))</f>
        <v>Western</v>
      </c>
      <c r="E75" s="17" t="str">
        <f>IF(TRIM(Raw_Data!E75)="","Not Specified",IFERROR(INDEX(Lookup_Tables!$B$6:$B$18,MATCH(TRIM(Raw_Data!E75),Lookup_Tables!$A$6:$A$18,0)),"Unknown - Review"))</f>
        <v>Uniforms &amp; Clothing</v>
      </c>
      <c r="F75" s="17" t="str">
        <f>IF(TRIM(Raw_Data!F75)="","",TRIM(Raw_Data!F75))</f>
        <v>Field Boots (Pair)</v>
      </c>
      <c r="G75" s="17">
        <f>IF(Raw_Data!G75="","",IF(VALUE(Raw_Data!G75)&lt;=0,"Invalid",VALUE(Raw_Data!G75)))</f>
        <v>416</v>
      </c>
      <c r="H75" s="17">
        <f>IF(Raw_Data!H75="","",IF(VALUE(Raw_Data!H75)&lt;=0,"Invalid",VALUE(Raw_Data!H75)))</f>
        <v>344</v>
      </c>
      <c r="I75" s="23">
        <f>IFERROR(VALUE(SUBSTITUTE(SUBSTITUTE(Raw_Data!I75,"₹",""),",","")),"")</f>
        <v>37085.56</v>
      </c>
      <c r="J75" s="17" t="str">
        <f>IF(TRIM(Raw_Data!J75)="","Not Specified",PROPER(TRIM(Raw_Data!J75)))</f>
        <v>Low</v>
      </c>
      <c r="K75" s="17" t="str">
        <f>IF(TRIM(Raw_Data!K75)="","Not Specified",IFERROR(INDEX(Lookup_Tables!$E$6:$E$13,MATCH(TRIM(Raw_Data!K75),Lookup_Tables!$D$6:$D$13,0)),"Unknown - Review"))</f>
        <v>Delivered</v>
      </c>
      <c r="L75" s="17" t="str">
        <f>IF(TRIM(Raw_Data!L75)="","",PROPER(TRIM(Raw_Data!L75)))</f>
        <v>Unit Commander</v>
      </c>
      <c r="M75" s="22">
        <f>IF(Raw_Data!M75="","",IF(ISNUMBER(Raw_Data!M75),Raw_Data!M75,IF(ISNUMBER(SEARCH("/",Raw_Data!M75)),IFERROR(DATE(VALUE(RIGHT(Raw_Data!M75,4)),VALUE(MID(Raw_Data!M75,4,2)),VALUE(LEFT(Raw_Data!M75,2))),"Invalid Date"),IFERROR(DATEVALUE(Raw_Data!M75),"Invalid Date"))))</f>
        <v>45671</v>
      </c>
      <c r="N75" s="22">
        <f>IF(Raw_Data!N75="","",IF(ISNUMBER(Raw_Data!N75),Raw_Data!N75,IF(ISNUMBER(SEARCH("/",Raw_Data!N75)),IFERROR(DATE(VALUE(RIGHT(Raw_Data!N75,4)),VALUE(MID(Raw_Data!N75,4,2)),VALUE(LEFT(Raw_Data!N75,2))),"Invalid Date"),IFERROR(DATEVALUE(Raw_Data!N75),"Invalid Date"))))</f>
        <v>45680</v>
      </c>
      <c r="O75" s="22">
        <f>IF(Raw_Data!O75="","",IF(ISNUMBER(Raw_Data!O75),Raw_Data!O75,IF(ISNUMBER(SEARCH("/",Raw_Data!O75)),IFERROR(DATE(VALUE(RIGHT(Raw_Data!O75,4)),VALUE(MID(Raw_Data!O75,4,2)),VALUE(LEFT(Raw_Data!O75,2))),"Invalid Date"),IFERROR(DATEVALUE(Raw_Data!O75),"Invalid Date"))))</f>
        <v>45684</v>
      </c>
      <c r="P75" s="17" t="str">
        <f>IF(OR(TRIM(Raw_Data!P75)="",TRIM(Raw_Data!P75)="N/A",TRIM(Raw_Data!P75)="TBD",TRIM(Raw_Data!P75)="-"),"Not Assigned",PROPER(TRIM(Raw_Data!P75)))</f>
        <v>Om Suppliers</v>
      </c>
      <c r="Q75" s="24">
        <f t="shared" si="6"/>
        <v>12757432.639999999</v>
      </c>
      <c r="R75" s="17">
        <f t="shared" si="7"/>
        <v>4</v>
      </c>
      <c r="S75" s="17" t="str">
        <f>IF(COUNTIF($A$2:A75,A75)&gt;1,"Duplicate","Unique")</f>
        <v>Unique</v>
      </c>
      <c r="T75" s="17" t="str">
        <f t="shared" si="8"/>
        <v>No</v>
      </c>
      <c r="U75" s="17" t="str">
        <f t="shared" si="9"/>
        <v>No</v>
      </c>
      <c r="V75" s="17" t="str">
        <f t="shared" si="10"/>
        <v>Yes</v>
      </c>
      <c r="W75" s="17" t="str">
        <f t="shared" si="11"/>
        <v>Jan-2025</v>
      </c>
    </row>
    <row r="76" spans="1:23" x14ac:dyDescent="0.3">
      <c r="A76" s="17" t="str">
        <f>TRIM(Raw_Data!A76)</f>
        <v>REQ-2025-0075</v>
      </c>
      <c r="B76" s="22">
        <f>IF(Raw_Data!B76="","",IF(ISNUMBER(Raw_Data!B76),Raw_Data!B76,IF(ISNUMBER(SEARCH("/",Raw_Data!B76)),IFERROR(DATE(VALUE(RIGHT(Raw_Data!B76,4)),VALUE(MID(Raw_Data!B76,4,2)),VALUE(LEFT(Raw_Data!B76,2))),"Invalid Date"),IFERROR(DATEVALUE(Raw_Data!B76),"Invalid Date"))))</f>
        <v>45807</v>
      </c>
      <c r="C76" s="17" t="str">
        <f>IF(TRIM(Raw_Data!C76)="","",PROPER(TRIM(Raw_Data!C76)))</f>
        <v>Unit A - Infantry</v>
      </c>
      <c r="D76" s="17" t="str">
        <f>IF(TRIM(Raw_Data!D76)="","Not Specified",IFERROR(INDEX(Lookup_Tables!$H$6:$H$12,MATCH(TRIM(Raw_Data!D76),Lookup_Tables!$G$6:$G$12,0)),"Unknown - Review"))</f>
        <v>Western</v>
      </c>
      <c r="E76" s="17" t="str">
        <f>IF(TRIM(Raw_Data!E76)="","Not Specified",IFERROR(INDEX(Lookup_Tables!$B$6:$B$18,MATCH(TRIM(Raw_Data!E76),Lookup_Tables!$A$6:$A$18,0)),"Unknown - Review"))</f>
        <v>Medical Supplies</v>
      </c>
      <c r="F76" s="17" t="str">
        <f>IF(TRIM(Raw_Data!F76)="","",TRIM(Raw_Data!F76))</f>
        <v>Antiseptic Solution (5L)</v>
      </c>
      <c r="G76" s="17">
        <f>IF(Raw_Data!G76="","",IF(VALUE(Raw_Data!G76)&lt;=0,"Invalid",VALUE(Raw_Data!G76)))</f>
        <v>349</v>
      </c>
      <c r="H76" s="17">
        <f>IF(Raw_Data!H76="","",IF(VALUE(Raw_Data!H76)&lt;=0,"Invalid",VALUE(Raw_Data!H76)))</f>
        <v>269</v>
      </c>
      <c r="I76" s="23">
        <f>IFERROR(VALUE(SUBSTITUTE(SUBSTITUTE(Raw_Data!I76,"₹",""),",","")),"")</f>
        <v>29691.03</v>
      </c>
      <c r="J76" s="17" t="str">
        <f>IF(TRIM(Raw_Data!J76)="","Not Specified",PROPER(TRIM(Raw_Data!J76)))</f>
        <v>Not Specified</v>
      </c>
      <c r="K76" s="17" t="str">
        <f>IF(TRIM(Raw_Data!K76)="","Not Specified",IFERROR(INDEX(Lookup_Tables!$E$6:$E$13,MATCH(TRIM(Raw_Data!K76),Lookup_Tables!$D$6:$D$13,0)),"Unknown - Review"))</f>
        <v>Delivered</v>
      </c>
      <c r="L76" s="17" t="str">
        <f>IF(TRIM(Raw_Data!L76)="","",PROPER(TRIM(Raw_Data!L76)))</f>
        <v>Unit Commander</v>
      </c>
      <c r="M76" s="22">
        <f>IF(Raw_Data!M76="","",IF(ISNUMBER(Raw_Data!M76),Raw_Data!M76,IF(ISNUMBER(SEARCH("/",Raw_Data!M76)),IFERROR(DATE(VALUE(RIGHT(Raw_Data!M76,4)),VALUE(MID(Raw_Data!M76,4,2)),VALUE(LEFT(Raw_Data!M76,2))),"Invalid Date"),IFERROR(DATEVALUE(Raw_Data!M76),"Invalid Date"))))</f>
        <v>45814</v>
      </c>
      <c r="N76" s="22" t="str">
        <f>IF(Raw_Data!N76="","",IF(ISNUMBER(Raw_Data!N76),Raw_Data!N76,IF(ISNUMBER(SEARCH("/",Raw_Data!N76)),IFERROR(DATE(VALUE(RIGHT(Raw_Data!N76,4)),VALUE(MID(Raw_Data!N76,4,2)),VALUE(LEFT(Raw_Data!N76,2))),"Invalid Date"),IFERROR(DATEVALUE(Raw_Data!N76),"Invalid Date"))))</f>
        <v/>
      </c>
      <c r="O76" s="22">
        <f>IF(Raw_Data!O76="","",IF(ISNUMBER(Raw_Data!O76),Raw_Data!O76,IF(ISNUMBER(SEARCH("/",Raw_Data!O76)),IFERROR(DATE(VALUE(RIGHT(Raw_Data!O76,4)),VALUE(MID(Raw_Data!O76,4,2)),VALUE(LEFT(Raw_Data!O76,2))),"Invalid Date"),IFERROR(DATEVALUE(Raw_Data!O76),"Invalid Date"))))</f>
        <v>45851</v>
      </c>
      <c r="P76" s="17" t="str">
        <f>IF(OR(TRIM(Raw_Data!P76)="",TRIM(Raw_Data!P76)="N/A",TRIM(Raw_Data!P76)="TBD",TRIM(Raw_Data!P76)="-"),"Not Assigned",PROPER(TRIM(Raw_Data!P76)))</f>
        <v>Sena Supply Co</v>
      </c>
      <c r="Q76" s="24">
        <f t="shared" si="6"/>
        <v>7986887.0699999994</v>
      </c>
      <c r="R76" s="17" t="str">
        <f t="shared" si="7"/>
        <v/>
      </c>
      <c r="S76" s="17" t="str">
        <f>IF(COUNTIF($A$2:A76,A76)&gt;1,"Duplicate","Unique")</f>
        <v>Unique</v>
      </c>
      <c r="T76" s="17" t="str">
        <f t="shared" si="8"/>
        <v>No</v>
      </c>
      <c r="U76" s="17" t="str">
        <f t="shared" si="9"/>
        <v>No</v>
      </c>
      <c r="V76" s="17" t="str">
        <f t="shared" si="10"/>
        <v>Yes</v>
      </c>
      <c r="W76" s="17" t="str">
        <f t="shared" si="11"/>
        <v>May-2025</v>
      </c>
    </row>
    <row r="77" spans="1:23" x14ac:dyDescent="0.3">
      <c r="A77" s="17" t="str">
        <f>TRIM(Raw_Data!A77)</f>
        <v>REQ-2025-0076</v>
      </c>
      <c r="B77" s="22">
        <f>IF(Raw_Data!B77="","",IF(ISNUMBER(Raw_Data!B77),Raw_Data!B77,IF(ISNUMBER(SEARCH("/",Raw_Data!B77)),IFERROR(DATE(VALUE(RIGHT(Raw_Data!B77,4)),VALUE(MID(Raw_Data!B77,4,2)),VALUE(LEFT(Raw_Data!B77,2))),"Invalid Date"),IFERROR(DATEVALUE(Raw_Data!B77),"Invalid Date"))))</f>
        <v>45878</v>
      </c>
      <c r="C77" s="17" t="str">
        <f>IF(TRIM(Raw_Data!C77)="","",PROPER(TRIM(Raw_Data!C77)))</f>
        <v>Unit A - Infantry</v>
      </c>
      <c r="D77" s="17" t="str">
        <f>IF(TRIM(Raw_Data!D77)="","Not Specified",IFERROR(INDEX(Lookup_Tables!$H$6:$H$12,MATCH(TRIM(Raw_Data!D77),Lookup_Tables!$G$6:$G$12,0)),"Unknown - Review"))</f>
        <v>Northern</v>
      </c>
      <c r="E77" s="17" t="str">
        <f>IF(TRIM(Raw_Data!E77)="","Not Specified",IFERROR(INDEX(Lookup_Tables!$B$6:$B$18,MATCH(TRIM(Raw_Data!E77),Lookup_Tables!$A$6:$A$18,0)),"Unknown - Review"))</f>
        <v>Construction Material</v>
      </c>
      <c r="F77" s="17" t="str">
        <f>IF(TRIM(Raw_Data!F77)="","",TRIM(Raw_Data!F77))</f>
        <v>Sandbag (Pack of 50)</v>
      </c>
      <c r="G77" s="17">
        <f>IF(Raw_Data!G77="","",IF(VALUE(Raw_Data!G77)&lt;=0,"Invalid",VALUE(Raw_Data!G77)))</f>
        <v>118</v>
      </c>
      <c r="H77" s="17" t="str">
        <f>IF(Raw_Data!H77="","",IF(VALUE(Raw_Data!H77)&lt;=0,"Invalid",VALUE(Raw_Data!H77)))</f>
        <v/>
      </c>
      <c r="I77" s="23">
        <f>IFERROR(VALUE(SUBSTITUTE(SUBSTITUTE(Raw_Data!I77,"₹",""),",","")),"")</f>
        <v>23418</v>
      </c>
      <c r="J77" s="17" t="str">
        <f>IF(TRIM(Raw_Data!J77)="","Not Specified",PROPER(TRIM(Raw_Data!J77)))</f>
        <v>Not Specified</v>
      </c>
      <c r="K77" s="17" t="str">
        <f>IF(TRIM(Raw_Data!K77)="","Not Specified",IFERROR(INDEX(Lookup_Tables!$E$6:$E$13,MATCH(TRIM(Raw_Data!K77),Lookup_Tables!$D$6:$D$13,0)),"Unknown - Review"))</f>
        <v>Pending</v>
      </c>
      <c r="L77" s="17" t="str">
        <f>IF(TRIM(Raw_Data!L77)="","",PROPER(TRIM(Raw_Data!L77)))</f>
        <v>Stores Officer</v>
      </c>
      <c r="M77" s="22" t="str">
        <f>IF(Raw_Data!M77="","",IF(ISNUMBER(Raw_Data!M77),Raw_Data!M77,IF(ISNUMBER(SEARCH("/",Raw_Data!M77)),IFERROR(DATE(VALUE(RIGHT(Raw_Data!M77,4)),VALUE(MID(Raw_Data!M77,4,2)),VALUE(LEFT(Raw_Data!M77,2))),"Invalid Date"),IFERROR(DATEVALUE(Raw_Data!M77),"Invalid Date"))))</f>
        <v/>
      </c>
      <c r="N77" s="22" t="str">
        <f>IF(Raw_Data!N77="","",IF(ISNUMBER(Raw_Data!N77),Raw_Data!N77,IF(ISNUMBER(SEARCH("/",Raw_Data!N77)),IFERROR(DATE(VALUE(RIGHT(Raw_Data!N77,4)),VALUE(MID(Raw_Data!N77,4,2)),VALUE(LEFT(Raw_Data!N77,2))),"Invalid Date"),IFERROR(DATEVALUE(Raw_Data!N77),"Invalid Date"))))</f>
        <v/>
      </c>
      <c r="O77" s="22" t="str">
        <f>IF(Raw_Data!O77="","",IF(ISNUMBER(Raw_Data!O77),Raw_Data!O77,IF(ISNUMBER(SEARCH("/",Raw_Data!O77)),IFERROR(DATE(VALUE(RIGHT(Raw_Data!O77,4)),VALUE(MID(Raw_Data!O77,4,2)),VALUE(LEFT(Raw_Data!O77,2))),"Invalid Date"),IFERROR(DATEVALUE(Raw_Data!O77),"Invalid Date"))))</f>
        <v/>
      </c>
      <c r="P77" s="17" t="str">
        <f>IF(OR(TRIM(Raw_Data!P77)="",TRIM(Raw_Data!P77)="N/A",TRIM(Raw_Data!P77)="TBD",TRIM(Raw_Data!P77)="-"),"Not Assigned",PROPER(TRIM(Raw_Data!P77)))</f>
        <v>Not Assigned</v>
      </c>
      <c r="Q77" s="24" t="str">
        <f t="shared" si="6"/>
        <v/>
      </c>
      <c r="R77" s="17" t="str">
        <f t="shared" si="7"/>
        <v/>
      </c>
      <c r="S77" s="17" t="str">
        <f>IF(COUNTIF($A$2:A77,A77)&gt;1,"Duplicate","Unique")</f>
        <v>Unique</v>
      </c>
      <c r="T77" s="17" t="str">
        <f t="shared" si="8"/>
        <v>No</v>
      </c>
      <c r="U77" s="17" t="str">
        <f t="shared" si="9"/>
        <v>No</v>
      </c>
      <c r="V77" s="17" t="str">
        <f t="shared" si="10"/>
        <v>Yes</v>
      </c>
      <c r="W77" s="17" t="str">
        <f t="shared" si="11"/>
        <v>Aug-2025</v>
      </c>
    </row>
    <row r="78" spans="1:23" x14ac:dyDescent="0.3">
      <c r="A78" s="17" t="str">
        <f>TRIM(Raw_Data!A78)</f>
        <v>REQ-2025-0077</v>
      </c>
      <c r="B78" s="22">
        <f>IF(Raw_Data!B78="","",IF(ISNUMBER(Raw_Data!B78),Raw_Data!B78,IF(ISNUMBER(SEARCH("/",Raw_Data!B78)),IFERROR(DATE(VALUE(RIGHT(Raw_Data!B78,4)),VALUE(MID(Raw_Data!B78,4,2)),VALUE(LEFT(Raw_Data!B78,2))),"Invalid Date"),IFERROR(DATEVALUE(Raw_Data!B78),"Invalid Date"))))</f>
        <v>45905</v>
      </c>
      <c r="C78" s="17" t="str">
        <f>IF(TRIM(Raw_Data!C78)="","",PROPER(TRIM(Raw_Data!C78)))</f>
        <v>Unit E - Medical Corps</v>
      </c>
      <c r="D78" s="17" t="str">
        <f>IF(TRIM(Raw_Data!D78)="","Not Specified",IFERROR(INDEX(Lookup_Tables!$H$6:$H$12,MATCH(TRIM(Raw_Data!D78),Lookup_Tables!$G$6:$G$12,0)),"Unknown - Review"))</f>
        <v>Central</v>
      </c>
      <c r="E78" s="17" t="str">
        <f>IF(TRIM(Raw_Data!E78)="","Not Specified",IFERROR(INDEX(Lookup_Tables!$B$6:$B$18,MATCH(TRIM(Raw_Data!E78),Lookup_Tables!$A$6:$A$18,0)),"Unknown - Review"))</f>
        <v>Medical Supplies</v>
      </c>
      <c r="F78" s="17" t="str">
        <f>IF(TRIM(Raw_Data!F78)="","",TRIM(Raw_Data!F78))</f>
        <v>Stretcher</v>
      </c>
      <c r="G78" s="17">
        <f>IF(Raw_Data!G78="","",IF(VALUE(Raw_Data!G78)&lt;=0,"Invalid",VALUE(Raw_Data!G78)))</f>
        <v>374</v>
      </c>
      <c r="H78" s="17">
        <f>IF(Raw_Data!H78="","",IF(VALUE(Raw_Data!H78)&lt;=0,"Invalid",VALUE(Raw_Data!H78)))</f>
        <v>295</v>
      </c>
      <c r="I78" s="23">
        <f>IFERROR(VALUE(SUBSTITUTE(SUBSTITUTE(Raw_Data!I78,"₹",""),",","")),"")</f>
        <v>36487</v>
      </c>
      <c r="J78" s="17" t="str">
        <f>IF(TRIM(Raw_Data!J78)="","Not Specified",PROPER(TRIM(Raw_Data!J78)))</f>
        <v>High</v>
      </c>
      <c r="K78" s="17" t="str">
        <f>IF(TRIM(Raw_Data!K78)="","Not Specified",IFERROR(INDEX(Lookup_Tables!$E$6:$E$13,MATCH(TRIM(Raw_Data!K78),Lookup_Tables!$D$6:$D$13,0)),"Unknown - Review"))</f>
        <v>Approved</v>
      </c>
      <c r="L78" s="17" t="str">
        <f>IF(TRIM(Raw_Data!L78)="","",PROPER(TRIM(Raw_Data!L78)))</f>
        <v>Unit Commander</v>
      </c>
      <c r="M78" s="22">
        <f>IF(Raw_Data!M78="","",IF(ISNUMBER(Raw_Data!M78),Raw_Data!M78,IF(ISNUMBER(SEARCH("/",Raw_Data!M78)),IFERROR(DATE(VALUE(RIGHT(Raw_Data!M78,4)),VALUE(MID(Raw_Data!M78,4,2)),VALUE(LEFT(Raw_Data!M78,2))),"Invalid Date"),IFERROR(DATEVALUE(Raw_Data!M78),"Invalid Date"))))</f>
        <v>45907</v>
      </c>
      <c r="N78" s="22" t="str">
        <f>IF(Raw_Data!N78="","",IF(ISNUMBER(Raw_Data!N78),Raw_Data!N78,IF(ISNUMBER(SEARCH("/",Raw_Data!N78)),IFERROR(DATE(VALUE(RIGHT(Raw_Data!N78,4)),VALUE(MID(Raw_Data!N78,4,2)),VALUE(LEFT(Raw_Data!N78,2))),"Invalid Date"),IFERROR(DATEVALUE(Raw_Data!N78),"Invalid Date"))))</f>
        <v/>
      </c>
      <c r="O78" s="22" t="str">
        <f>IF(Raw_Data!O78="","",IF(ISNUMBER(Raw_Data!O78),Raw_Data!O78,IF(ISNUMBER(SEARCH("/",Raw_Data!O78)),IFERROR(DATE(VALUE(RIGHT(Raw_Data!O78,4)),VALUE(MID(Raw_Data!O78,4,2)),VALUE(LEFT(Raw_Data!O78,2))),"Invalid Date"),IFERROR(DATEVALUE(Raw_Data!O78),"Invalid Date"))))</f>
        <v/>
      </c>
      <c r="P78" s="17" t="str">
        <f>IF(OR(TRIM(Raw_Data!P78)="",TRIM(Raw_Data!P78)="N/A",TRIM(Raw_Data!P78)="TBD",TRIM(Raw_Data!P78)="-"),"Not Assigned",PROPER(TRIM(Raw_Data!P78)))</f>
        <v>Om Suppliers</v>
      </c>
      <c r="Q78" s="24">
        <f t="shared" si="6"/>
        <v>10763665</v>
      </c>
      <c r="R78" s="17" t="str">
        <f t="shared" si="7"/>
        <v/>
      </c>
      <c r="S78" s="17" t="str">
        <f>IF(COUNTIF($A$2:A78,A78)&gt;1,"Duplicate","Unique")</f>
        <v>Unique</v>
      </c>
      <c r="T78" s="17" t="str">
        <f t="shared" si="8"/>
        <v>No</v>
      </c>
      <c r="U78" s="17" t="str">
        <f t="shared" si="9"/>
        <v>No</v>
      </c>
      <c r="V78" s="17" t="str">
        <f t="shared" si="10"/>
        <v>Yes</v>
      </c>
      <c r="W78" s="17" t="str">
        <f t="shared" si="11"/>
        <v>Sep-2025</v>
      </c>
    </row>
    <row r="79" spans="1:23" x14ac:dyDescent="0.3">
      <c r="A79" s="17" t="str">
        <f>TRIM(Raw_Data!A79)</f>
        <v>REQ-2025-0078</v>
      </c>
      <c r="B79" s="22">
        <f>IF(Raw_Data!B79="","",IF(ISNUMBER(Raw_Data!B79),Raw_Data!B79,IF(ISNUMBER(SEARCH("/",Raw_Data!B79)),IFERROR(DATE(VALUE(RIGHT(Raw_Data!B79,4)),VALUE(MID(Raw_Data!B79,4,2)),VALUE(LEFT(Raw_Data!B79,2))),"Invalid Date"),IFERROR(DATEVALUE(Raw_Data!B79),"Invalid Date"))))</f>
        <v>45800</v>
      </c>
      <c r="C79" s="17" t="str">
        <f>IF(TRIM(Raw_Data!C79)="","",PROPER(TRIM(Raw_Data!C79)))</f>
        <v>Unit G - Transport Corps</v>
      </c>
      <c r="D79" s="17" t="str">
        <f>IF(TRIM(Raw_Data!D79)="","Not Specified",IFERROR(INDEX(Lookup_Tables!$H$6:$H$12,MATCH(TRIM(Raw_Data!D79),Lookup_Tables!$G$6:$G$12,0)),"Unknown - Review"))</f>
        <v>Southern</v>
      </c>
      <c r="E79" s="17" t="str">
        <f>IF(TRIM(Raw_Data!E79)="","Not Specified",IFERROR(INDEX(Lookup_Tables!$B$6:$B$18,MATCH(TRIM(Raw_Data!E79),Lookup_Tables!$A$6:$A$18,0)),"Unknown - Review"))</f>
        <v>Medical Supplies</v>
      </c>
      <c r="F79" s="17" t="str">
        <f>IF(TRIM(Raw_Data!F79)="","",TRIM(Raw_Data!F79))</f>
        <v>Surgical Gloves (Box)</v>
      </c>
      <c r="G79" s="17">
        <f>IF(Raw_Data!G79="","",IF(VALUE(Raw_Data!G79)&lt;=0,"Invalid",VALUE(Raw_Data!G79)))</f>
        <v>414</v>
      </c>
      <c r="H79" s="17">
        <f>IF(Raw_Data!H79="","",IF(VALUE(Raw_Data!H79)&lt;=0,"Invalid",VALUE(Raw_Data!H79)))</f>
        <v>330</v>
      </c>
      <c r="I79" s="23">
        <f>IFERROR(VALUE(SUBSTITUTE(SUBSTITUTE(Raw_Data!I79,"₹",""),",","")),"")</f>
        <v>20671.14</v>
      </c>
      <c r="J79" s="17" t="str">
        <f>IF(TRIM(Raw_Data!J79)="","Not Specified",PROPER(TRIM(Raw_Data!J79)))</f>
        <v>High</v>
      </c>
      <c r="K79" s="17" t="str">
        <f>IF(TRIM(Raw_Data!K79)="","Not Specified",IFERROR(INDEX(Lookup_Tables!$E$6:$E$13,MATCH(TRIM(Raw_Data!K79),Lookup_Tables!$D$6:$D$13,0)),"Unknown - Review"))</f>
        <v>Delivered</v>
      </c>
      <c r="L79" s="17" t="str">
        <f>IF(TRIM(Raw_Data!L79)="","",PROPER(TRIM(Raw_Data!L79)))</f>
        <v>Quartermaster</v>
      </c>
      <c r="M79" s="22">
        <f>IF(Raw_Data!M79="","",IF(ISNUMBER(Raw_Data!M79),Raw_Data!M79,IF(ISNUMBER(SEARCH("/",Raw_Data!M79)),IFERROR(DATE(VALUE(RIGHT(Raw_Data!M79,4)),VALUE(MID(Raw_Data!M79,4,2)),VALUE(LEFT(Raw_Data!M79,2))),"Invalid Date"),IFERROR(DATEVALUE(Raw_Data!M79),"Invalid Date"))))</f>
        <v>45805</v>
      </c>
      <c r="N79" s="22" t="str">
        <f>IF(Raw_Data!N79="","",IF(ISNUMBER(Raw_Data!N79),Raw_Data!N79,IF(ISNUMBER(SEARCH("/",Raw_Data!N79)),IFERROR(DATE(VALUE(RIGHT(Raw_Data!N79,4)),VALUE(MID(Raw_Data!N79,4,2)),VALUE(LEFT(Raw_Data!N79,2))),"Invalid Date"),IFERROR(DATEVALUE(Raw_Data!N79),"Invalid Date"))))</f>
        <v/>
      </c>
      <c r="O79" s="22">
        <f>IF(Raw_Data!O79="","",IF(ISNUMBER(Raw_Data!O79),Raw_Data!O79,IF(ISNUMBER(SEARCH("/",Raw_Data!O79)),IFERROR(DATE(VALUE(RIGHT(Raw_Data!O79,4)),VALUE(MID(Raw_Data!O79,4,2)),VALUE(LEFT(Raw_Data!O79,2))),"Invalid Date"),IFERROR(DATEVALUE(Raw_Data!O79),"Invalid Date"))))</f>
        <v>45841</v>
      </c>
      <c r="P79" s="17" t="str">
        <f>IF(OR(TRIM(Raw_Data!P79)="",TRIM(Raw_Data!P79)="N/A",TRIM(Raw_Data!P79)="TBD",TRIM(Raw_Data!P79)="-"),"Not Assigned",PROPER(TRIM(Raw_Data!P79)))</f>
        <v>Om Suppliers</v>
      </c>
      <c r="Q79" s="24">
        <f t="shared" si="6"/>
        <v>6821476.2000000002</v>
      </c>
      <c r="R79" s="17" t="str">
        <f t="shared" si="7"/>
        <v/>
      </c>
      <c r="S79" s="17" t="str">
        <f>IF(COUNTIF($A$2:A79,A79)&gt;1,"Duplicate","Unique")</f>
        <v>Unique</v>
      </c>
      <c r="T79" s="17" t="str">
        <f t="shared" si="8"/>
        <v>No</v>
      </c>
      <c r="U79" s="17" t="str">
        <f t="shared" si="9"/>
        <v>No</v>
      </c>
      <c r="V79" s="17" t="str">
        <f t="shared" si="10"/>
        <v>Yes</v>
      </c>
      <c r="W79" s="17" t="str">
        <f t="shared" si="11"/>
        <v>May-2025</v>
      </c>
    </row>
    <row r="80" spans="1:23" x14ac:dyDescent="0.3">
      <c r="A80" s="17" t="str">
        <f>TRIM(Raw_Data!A80)</f>
        <v>REQ-2025-0079</v>
      </c>
      <c r="B80" s="22" t="str">
        <f>IF(Raw_Data!B80="","",IF(ISNUMBER(Raw_Data!B80),Raw_Data!B80,IF(ISNUMBER(SEARCH("/",Raw_Data!B80)),IFERROR(DATE(VALUE(RIGHT(Raw_Data!B80,4)),VALUE(MID(Raw_Data!B80,4,2)),VALUE(LEFT(Raw_Data!B80,2))),"Invalid Date"),IFERROR(DATEVALUE(Raw_Data!B80),"Invalid Date"))))</f>
        <v/>
      </c>
      <c r="C80" s="17" t="str">
        <f>IF(TRIM(Raw_Data!C80)="","",PROPER(TRIM(Raw_Data!C80)))</f>
        <v>Unit C - Engineers</v>
      </c>
      <c r="D80" s="17" t="str">
        <f>IF(TRIM(Raw_Data!D80)="","Not Specified",IFERROR(INDEX(Lookup_Tables!$H$6:$H$12,MATCH(TRIM(Raw_Data!D80),Lookup_Tables!$G$6:$G$12,0)),"Unknown - Review"))</f>
        <v>Eastern</v>
      </c>
      <c r="E80" s="17" t="str">
        <f>IF(TRIM(Raw_Data!E80)="","Not Specified",IFERROR(INDEX(Lookup_Tables!$B$6:$B$18,MATCH(TRIM(Raw_Data!E80),Lookup_Tables!$A$6:$A$18,0)),"Unknown - Review"))</f>
        <v>Construction Material</v>
      </c>
      <c r="F80" s="17" t="str">
        <f>IF(TRIM(Raw_Data!F80)="","",TRIM(Raw_Data!F80))</f>
        <v>Steel Rod Bundle</v>
      </c>
      <c r="G80" s="17">
        <f>IF(Raw_Data!G80="","",IF(VALUE(Raw_Data!G80)&lt;=0,"Invalid",VALUE(Raw_Data!G80)))</f>
        <v>255</v>
      </c>
      <c r="H80" s="17">
        <f>IF(Raw_Data!H80="","",IF(VALUE(Raw_Data!H80)&lt;=0,"Invalid",VALUE(Raw_Data!H80)))</f>
        <v>242</v>
      </c>
      <c r="I80" s="23">
        <f>IFERROR(VALUE(SUBSTITUTE(SUBSTITUTE(Raw_Data!I80,"₹",""),",","")),"")</f>
        <v>27930.54</v>
      </c>
      <c r="J80" s="17" t="str">
        <f>IF(TRIM(Raw_Data!J80)="","Not Specified",PROPER(TRIM(Raw_Data!J80)))</f>
        <v>Medium</v>
      </c>
      <c r="K80" s="17" t="str">
        <f>IF(TRIM(Raw_Data!K80)="","Not Specified",IFERROR(INDEX(Lookup_Tables!$E$6:$E$13,MATCH(TRIM(Raw_Data!K80),Lookup_Tables!$D$6:$D$13,0)),"Unknown - Review"))</f>
        <v>Dispatched</v>
      </c>
      <c r="L80" s="17" t="str">
        <f>IF(TRIM(Raw_Data!L80)="","",PROPER(TRIM(Raw_Data!L80)))</f>
        <v>Logistics Officer</v>
      </c>
      <c r="M80" s="22">
        <f>IF(Raw_Data!M80="","",IF(ISNUMBER(Raw_Data!M80),Raw_Data!M80,IF(ISNUMBER(SEARCH("/",Raw_Data!M80)),IFERROR(DATE(VALUE(RIGHT(Raw_Data!M80,4)),VALUE(MID(Raw_Data!M80,4,2)),VALUE(LEFT(Raw_Data!M80,2))),"Invalid Date"),IFERROR(DATEVALUE(Raw_Data!M80),"Invalid Date"))))</f>
        <v>45913</v>
      </c>
      <c r="N80" s="22">
        <f>IF(Raw_Data!N80="","",IF(ISNUMBER(Raw_Data!N80),Raw_Data!N80,IF(ISNUMBER(SEARCH("/",Raw_Data!N80)),IFERROR(DATE(VALUE(RIGHT(Raw_Data!N80,4)),VALUE(MID(Raw_Data!N80,4,2)),VALUE(LEFT(Raw_Data!N80,2))),"Invalid Date"),IFERROR(DATEVALUE(Raw_Data!N80),"Invalid Date"))))</f>
        <v>45918</v>
      </c>
      <c r="O80" s="22" t="str">
        <f>IF(Raw_Data!O80="","",IF(ISNUMBER(Raw_Data!O80),Raw_Data!O80,IF(ISNUMBER(SEARCH("/",Raw_Data!O80)),IFERROR(DATE(VALUE(RIGHT(Raw_Data!O80,4)),VALUE(MID(Raw_Data!O80,4,2)),VALUE(LEFT(Raw_Data!O80,2))),"Invalid Date"),IFERROR(DATEVALUE(Raw_Data!O80),"Invalid Date"))))</f>
        <v/>
      </c>
      <c r="P80" s="17" t="str">
        <f>IF(OR(TRIM(Raw_Data!P80)="",TRIM(Raw_Data!P80)="N/A",TRIM(Raw_Data!P80)="TBD",TRIM(Raw_Data!P80)="-"),"Not Assigned",PROPER(TRIM(Raw_Data!P80)))</f>
        <v>Central Ordnance Suppliers</v>
      </c>
      <c r="Q80" s="24">
        <f t="shared" si="6"/>
        <v>6759190.6800000006</v>
      </c>
      <c r="R80" s="17" t="str">
        <f t="shared" si="7"/>
        <v/>
      </c>
      <c r="S80" s="17" t="str">
        <f>IF(COUNTIF($A$2:A80,A80)&gt;1,"Duplicate","Unique")</f>
        <v>Unique</v>
      </c>
      <c r="T80" s="17" t="str">
        <f t="shared" si="8"/>
        <v>No</v>
      </c>
      <c r="U80" s="17" t="str">
        <f t="shared" si="9"/>
        <v>No</v>
      </c>
      <c r="V80" s="17" t="str">
        <f t="shared" si="10"/>
        <v>Yes</v>
      </c>
      <c r="W80" s="17" t="str">
        <f t="shared" si="11"/>
        <v/>
      </c>
    </row>
    <row r="81" spans="1:23" x14ac:dyDescent="0.3">
      <c r="A81" s="17" t="str">
        <f>TRIM(Raw_Data!A81)</f>
        <v>REQ-2025-0080</v>
      </c>
      <c r="B81" s="22">
        <f>IF(Raw_Data!B81="","",IF(ISNUMBER(Raw_Data!B81),Raw_Data!B81,IF(ISNUMBER(SEARCH("/",Raw_Data!B81)),IFERROR(DATE(VALUE(RIGHT(Raw_Data!B81,4)),VALUE(MID(Raw_Data!B81,4,2)),VALUE(LEFT(Raw_Data!B81,2))),"Invalid Date"),IFERROR(DATEVALUE(Raw_Data!B81),"Invalid Date"))))</f>
        <v>45716</v>
      </c>
      <c r="C81" s="17" t="str">
        <f>IF(TRIM(Raw_Data!C81)="","",PROPER(TRIM(Raw_Data!C81)))</f>
        <v>Unit H - Air Defence</v>
      </c>
      <c r="D81" s="17" t="str">
        <f>IF(TRIM(Raw_Data!D81)="","Not Specified",IFERROR(INDEX(Lookup_Tables!$H$6:$H$12,MATCH(TRIM(Raw_Data!D81),Lookup_Tables!$G$6:$G$12,0)),"Unknown - Review"))</f>
        <v>Eastern</v>
      </c>
      <c r="E81" s="17" t="str">
        <f>IF(TRIM(Raw_Data!E81)="","Not Specified",IFERROR(INDEX(Lookup_Tables!$B$6:$B$18,MATCH(TRIM(Raw_Data!E81),Lookup_Tables!$A$6:$A$18,0)),"Unknown - Review"))</f>
        <v>Vehicle Spares</v>
      </c>
      <c r="F81" s="17" t="str">
        <f>IF(TRIM(Raw_Data!F81)="","",TRIM(Raw_Data!F81))</f>
        <v>Clutch Plate</v>
      </c>
      <c r="G81" s="17">
        <f>IF(Raw_Data!G81="","",IF(VALUE(Raw_Data!G81)&lt;=0,"Invalid",VALUE(Raw_Data!G81)))</f>
        <v>394</v>
      </c>
      <c r="H81" s="17">
        <f>IF(Raw_Data!H81="","",IF(VALUE(Raw_Data!H81)&lt;=0,"Invalid",VALUE(Raw_Data!H81)))</f>
        <v>392</v>
      </c>
      <c r="I81" s="23">
        <f>IFERROR(VALUE(SUBSTITUTE(SUBSTITUTE(Raw_Data!I81,"₹",""),",","")),"")</f>
        <v>4743</v>
      </c>
      <c r="J81" s="17" t="str">
        <f>IF(TRIM(Raw_Data!J81)="","Not Specified",PROPER(TRIM(Raw_Data!J81)))</f>
        <v>Low</v>
      </c>
      <c r="K81" s="17" t="str">
        <f>IF(TRIM(Raw_Data!K81)="","Not Specified",IFERROR(INDEX(Lookup_Tables!$E$6:$E$13,MATCH(TRIM(Raw_Data!K81),Lookup_Tables!$D$6:$D$13,0)),"Unknown - Review"))</f>
        <v>Approved</v>
      </c>
      <c r="L81" s="17" t="str">
        <f>IF(TRIM(Raw_Data!L81)="","",PROPER(TRIM(Raw_Data!L81)))</f>
        <v>Quartermaster</v>
      </c>
      <c r="M81" s="22" t="str">
        <f>IF(Raw_Data!M81="","",IF(ISNUMBER(Raw_Data!M81),Raw_Data!M81,IF(ISNUMBER(SEARCH("/",Raw_Data!M81)),IFERROR(DATE(VALUE(RIGHT(Raw_Data!M81,4)),VALUE(MID(Raw_Data!M81,4,2)),VALUE(LEFT(Raw_Data!M81,2))),"Invalid Date"),IFERROR(DATEVALUE(Raw_Data!M81),"Invalid Date"))))</f>
        <v/>
      </c>
      <c r="N81" s="22">
        <f>IF(Raw_Data!N81="","",IF(ISNUMBER(Raw_Data!N81),Raw_Data!N81,IF(ISNUMBER(SEARCH("/",Raw_Data!N81)),IFERROR(DATE(VALUE(RIGHT(Raw_Data!N81,4)),VALUE(MID(Raw_Data!N81,4,2)),VALUE(LEFT(Raw_Data!N81,2))),"Invalid Date"),IFERROR(DATEVALUE(Raw_Data!N81),"Invalid Date"))))</f>
        <v>45734</v>
      </c>
      <c r="O81" s="22" t="str">
        <f>IF(Raw_Data!O81="","",IF(ISNUMBER(Raw_Data!O81),Raw_Data!O81,IF(ISNUMBER(SEARCH("/",Raw_Data!O81)),IFERROR(DATE(VALUE(RIGHT(Raw_Data!O81,4)),VALUE(MID(Raw_Data!O81,4,2)),VALUE(LEFT(Raw_Data!O81,2))),"Invalid Date"),IFERROR(DATEVALUE(Raw_Data!O81),"Invalid Date"))))</f>
        <v/>
      </c>
      <c r="P81" s="17" t="str">
        <f>IF(OR(TRIM(Raw_Data!P81)="",TRIM(Raw_Data!P81)="N/A",TRIM(Raw_Data!P81)="TBD",TRIM(Raw_Data!P81)="-"),"Not Assigned",PROPER(TRIM(Raw_Data!P81)))</f>
        <v>Bharat Logistics Pvt Ltd</v>
      </c>
      <c r="Q81" s="24">
        <f t="shared" si="6"/>
        <v>1859256</v>
      </c>
      <c r="R81" s="17" t="str">
        <f t="shared" si="7"/>
        <v/>
      </c>
      <c r="S81" s="17" t="str">
        <f>IF(COUNTIF($A$2:A81,A81)&gt;1,"Duplicate","Unique")</f>
        <v>Unique</v>
      </c>
      <c r="T81" s="17" t="str">
        <f t="shared" si="8"/>
        <v>No</v>
      </c>
      <c r="U81" s="17" t="str">
        <f t="shared" si="9"/>
        <v>No</v>
      </c>
      <c r="V81" s="17" t="str">
        <f t="shared" si="10"/>
        <v>Yes</v>
      </c>
      <c r="W81" s="17" t="str">
        <f t="shared" si="11"/>
        <v>Feb-2025</v>
      </c>
    </row>
    <row r="82" spans="1:23" x14ac:dyDescent="0.3">
      <c r="A82" s="17" t="str">
        <f>TRIM(Raw_Data!A82)</f>
        <v>REQ-2025-0081</v>
      </c>
      <c r="B82" s="22">
        <f>IF(Raw_Data!B82="","",IF(ISNUMBER(Raw_Data!B82),Raw_Data!B82,IF(ISNUMBER(SEARCH("/",Raw_Data!B82)),IFERROR(DATE(VALUE(RIGHT(Raw_Data!B82,4)),VALUE(MID(Raw_Data!B82,4,2)),VALUE(LEFT(Raw_Data!B82,2))),"Invalid Date"),IFERROR(DATEVALUE(Raw_Data!B82),"Invalid Date"))))</f>
        <v>45823</v>
      </c>
      <c r="C82" s="17" t="str">
        <f>IF(TRIM(Raw_Data!C82)="","",PROPER(TRIM(Raw_Data!C82)))</f>
        <v>Unit F - Ordnance Depot</v>
      </c>
      <c r="D82" s="17" t="str">
        <f>IF(TRIM(Raw_Data!D82)="","Not Specified",IFERROR(INDEX(Lookup_Tables!$H$6:$H$12,MATCH(TRIM(Raw_Data!D82),Lookup_Tables!$G$6:$G$12,0)),"Unknown - Review"))</f>
        <v>Northern</v>
      </c>
      <c r="E82" s="17" t="str">
        <f>IF(TRIM(Raw_Data!E82)="","Not Specified",IFERROR(INDEX(Lookup_Tables!$B$6:$B$18,MATCH(TRIM(Raw_Data!E82),Lookup_Tables!$A$6:$A$18,0)),"Unknown - Review"))</f>
        <v>Tents &amp; Shelter</v>
      </c>
      <c r="F82" s="17" t="str">
        <f>IF(TRIM(Raw_Data!F82)="","",TRIM(Raw_Data!F82))</f>
        <v>Tarpaulin Sheet</v>
      </c>
      <c r="G82" s="17">
        <f>IF(Raw_Data!G82="","",IF(VALUE(Raw_Data!G82)&lt;=0,"Invalid",VALUE(Raw_Data!G82)))</f>
        <v>298</v>
      </c>
      <c r="H82" s="17">
        <f>IF(Raw_Data!H82="","",IF(VALUE(Raw_Data!H82)&lt;=0,"Invalid",VALUE(Raw_Data!H82)))</f>
        <v>296</v>
      </c>
      <c r="I82" s="23">
        <f>IFERROR(VALUE(SUBSTITUTE(SUBSTITUTE(Raw_Data!I82,"₹",""),",","")),"")</f>
        <v>30616.57</v>
      </c>
      <c r="J82" s="17" t="str">
        <f>IF(TRIM(Raw_Data!J82)="","Not Specified",PROPER(TRIM(Raw_Data!J82)))</f>
        <v>Low</v>
      </c>
      <c r="K82" s="17" t="str">
        <f>IF(TRIM(Raw_Data!K82)="","Not Specified",IFERROR(INDEX(Lookup_Tables!$E$6:$E$13,MATCH(TRIM(Raw_Data!K82),Lookup_Tables!$D$6:$D$13,0)),"Unknown - Review"))</f>
        <v>Delivered</v>
      </c>
      <c r="L82" s="17" t="str">
        <f>IF(TRIM(Raw_Data!L82)="","",PROPER(TRIM(Raw_Data!L82)))</f>
        <v>Stores Officer</v>
      </c>
      <c r="M82" s="22">
        <f>IF(Raw_Data!M82="","",IF(ISNUMBER(Raw_Data!M82),Raw_Data!M82,IF(ISNUMBER(SEARCH("/",Raw_Data!M82)),IFERROR(DATE(VALUE(RIGHT(Raw_Data!M82,4)),VALUE(MID(Raw_Data!M82,4,2)),VALUE(LEFT(Raw_Data!M82,2))),"Invalid Date"),IFERROR(DATEVALUE(Raw_Data!M82),"Invalid Date"))))</f>
        <v>45825</v>
      </c>
      <c r="N82" s="22">
        <f>IF(Raw_Data!N82="","",IF(ISNUMBER(Raw_Data!N82),Raw_Data!N82,IF(ISNUMBER(SEARCH("/",Raw_Data!N82)),IFERROR(DATE(VALUE(RIGHT(Raw_Data!N82,4)),VALUE(MID(Raw_Data!N82,4,2)),VALUE(LEFT(Raw_Data!N82,2))),"Invalid Date"),IFERROR(DATEVALUE(Raw_Data!N82),"Invalid Date"))))</f>
        <v>45834</v>
      </c>
      <c r="O82" s="22">
        <f>IF(Raw_Data!O82="","",IF(ISNUMBER(Raw_Data!O82),Raw_Data!O82,IF(ISNUMBER(SEARCH("/",Raw_Data!O82)),IFERROR(DATE(VALUE(RIGHT(Raw_Data!O82,4)),VALUE(MID(Raw_Data!O82,4,2)),VALUE(LEFT(Raw_Data!O82,2))),"Invalid Date"),IFERROR(DATEVALUE(Raw_Data!O82),"Invalid Date"))))</f>
        <v>45853</v>
      </c>
      <c r="P82" s="17" t="str">
        <f>IF(OR(TRIM(Raw_Data!P82)="",TRIM(Raw_Data!P82)="N/A",TRIM(Raw_Data!P82)="TBD",TRIM(Raw_Data!P82)="-"),"Not Assigned",PROPER(TRIM(Raw_Data!P82)))</f>
        <v>Rapid Vendors Ltd</v>
      </c>
      <c r="Q82" s="24">
        <f t="shared" si="6"/>
        <v>9062504.7200000007</v>
      </c>
      <c r="R82" s="17">
        <f t="shared" si="7"/>
        <v>19</v>
      </c>
      <c r="S82" s="17" t="str">
        <f>IF(COUNTIF($A$2:A82,A82)&gt;1,"Duplicate","Unique")</f>
        <v>Unique</v>
      </c>
      <c r="T82" s="17" t="str">
        <f t="shared" si="8"/>
        <v>No</v>
      </c>
      <c r="U82" s="17" t="str">
        <f t="shared" si="9"/>
        <v>No</v>
      </c>
      <c r="V82" s="17" t="str">
        <f t="shared" si="10"/>
        <v>Yes</v>
      </c>
      <c r="W82" s="17" t="str">
        <f t="shared" si="11"/>
        <v>Jun-2025</v>
      </c>
    </row>
    <row r="83" spans="1:23" x14ac:dyDescent="0.3">
      <c r="A83" s="17" t="str">
        <f>TRIM(Raw_Data!A83)</f>
        <v>REQ-2025-0082</v>
      </c>
      <c r="B83" s="22">
        <f>IF(Raw_Data!B83="","",IF(ISNUMBER(Raw_Data!B83),Raw_Data!B83,IF(ISNUMBER(SEARCH("/",Raw_Data!B83)),IFERROR(DATE(VALUE(RIGHT(Raw_Data!B83,4)),VALUE(MID(Raw_Data!B83,4,2)),VALUE(LEFT(Raw_Data!B83,2))),"Invalid Date"),IFERROR(DATEVALUE(Raw_Data!B83),"Invalid Date"))))</f>
        <v>45907</v>
      </c>
      <c r="C83" s="17" t="str">
        <f>IF(TRIM(Raw_Data!C83)="","",PROPER(TRIM(Raw_Data!C83)))</f>
        <v>Unit E - Medical Corps</v>
      </c>
      <c r="D83" s="17" t="str">
        <f>IF(TRIM(Raw_Data!D83)="","Not Specified",IFERROR(INDEX(Lookup_Tables!$H$6:$H$12,MATCH(TRIM(Raw_Data!D83),Lookup_Tables!$G$6:$G$12,0)),"Unknown - Review"))</f>
        <v>Central</v>
      </c>
      <c r="E83" s="17" t="str">
        <f>IF(TRIM(Raw_Data!E83)="","Not Specified",IFERROR(INDEX(Lookup_Tables!$B$6:$B$18,MATCH(TRIM(Raw_Data!E83),Lookup_Tables!$A$6:$A$18,0)),"Unknown - Review"))</f>
        <v>Fuel &amp; Lubricants</v>
      </c>
      <c r="F83" s="17" t="str">
        <f>IF(TRIM(Raw_Data!F83)="","",TRIM(Raw_Data!F83))</f>
        <v>Hydraulic Fluid (20L)</v>
      </c>
      <c r="G83" s="17">
        <f>IF(Raw_Data!G83="","",IF(VALUE(Raw_Data!G83)&lt;=0,"Invalid",VALUE(Raw_Data!G83)))</f>
        <v>379</v>
      </c>
      <c r="H83" s="17">
        <f>IF(Raw_Data!H83="","",IF(VALUE(Raw_Data!H83)&lt;=0,"Invalid",VALUE(Raw_Data!H83)))</f>
        <v>344</v>
      </c>
      <c r="I83" s="23">
        <f>IFERROR(VALUE(SUBSTITUTE(SUBSTITUTE(Raw_Data!I83,"₹",""),",","")),"")</f>
        <v>38277</v>
      </c>
      <c r="J83" s="17" t="str">
        <f>IF(TRIM(Raw_Data!J83)="","Not Specified",PROPER(TRIM(Raw_Data!J83)))</f>
        <v>High</v>
      </c>
      <c r="K83" s="17" t="str">
        <f>IF(TRIM(Raw_Data!K83)="","Not Specified",IFERROR(INDEX(Lookup_Tables!$E$6:$E$13,MATCH(TRIM(Raw_Data!K83),Lookup_Tables!$D$6:$D$13,0)),"Unknown - Review"))</f>
        <v>Approved</v>
      </c>
      <c r="L83" s="17" t="str">
        <f>IF(TRIM(Raw_Data!L83)="","",PROPER(TRIM(Raw_Data!L83)))</f>
        <v>Quartermaster</v>
      </c>
      <c r="M83" s="22">
        <f>IF(Raw_Data!M83="","",IF(ISNUMBER(Raw_Data!M83),Raw_Data!M83,IF(ISNUMBER(SEARCH("/",Raw_Data!M83)),IFERROR(DATE(VALUE(RIGHT(Raw_Data!M83,4)),VALUE(MID(Raw_Data!M83,4,2)),VALUE(LEFT(Raw_Data!M83,2))),"Invalid Date"),IFERROR(DATEVALUE(Raw_Data!M83),"Invalid Date"))))</f>
        <v>45916</v>
      </c>
      <c r="N83" s="22" t="str">
        <f>IF(Raw_Data!N83="","",IF(ISNUMBER(Raw_Data!N83),Raw_Data!N83,IF(ISNUMBER(SEARCH("/",Raw_Data!N83)),IFERROR(DATE(VALUE(RIGHT(Raw_Data!N83,4)),VALUE(MID(Raw_Data!N83,4,2)),VALUE(LEFT(Raw_Data!N83,2))),"Invalid Date"),IFERROR(DATEVALUE(Raw_Data!N83),"Invalid Date"))))</f>
        <v/>
      </c>
      <c r="O83" s="22" t="str">
        <f>IF(Raw_Data!O83="","",IF(ISNUMBER(Raw_Data!O83),Raw_Data!O83,IF(ISNUMBER(SEARCH("/",Raw_Data!O83)),IFERROR(DATE(VALUE(RIGHT(Raw_Data!O83,4)),VALUE(MID(Raw_Data!O83,4,2)),VALUE(LEFT(Raw_Data!O83,2))),"Invalid Date"),IFERROR(DATEVALUE(Raw_Data!O83),"Invalid Date"))))</f>
        <v/>
      </c>
      <c r="P83" s="17" t="str">
        <f>IF(OR(TRIM(Raw_Data!P83)="",TRIM(Raw_Data!P83)="N/A",TRIM(Raw_Data!P83)="TBD",TRIM(Raw_Data!P83)="-"),"Not Assigned",PROPER(TRIM(Raw_Data!P83)))</f>
        <v>Vikram Enterprises</v>
      </c>
      <c r="Q83" s="24">
        <f t="shared" si="6"/>
        <v>13167288</v>
      </c>
      <c r="R83" s="17" t="str">
        <f t="shared" si="7"/>
        <v/>
      </c>
      <c r="S83" s="17" t="str">
        <f>IF(COUNTIF($A$2:A83,A83)&gt;1,"Duplicate","Unique")</f>
        <v>Unique</v>
      </c>
      <c r="T83" s="17" t="str">
        <f t="shared" si="8"/>
        <v>No</v>
      </c>
      <c r="U83" s="17" t="str">
        <f t="shared" si="9"/>
        <v>No</v>
      </c>
      <c r="V83" s="17" t="str">
        <f t="shared" si="10"/>
        <v>Yes</v>
      </c>
      <c r="W83" s="17" t="str">
        <f t="shared" si="11"/>
        <v>Sep-2025</v>
      </c>
    </row>
    <row r="84" spans="1:23" x14ac:dyDescent="0.3">
      <c r="A84" s="17" t="str">
        <f>TRIM(Raw_Data!A84)</f>
        <v>REQ-2025-0083</v>
      </c>
      <c r="B84" s="22" t="str">
        <f>IF(Raw_Data!B84="","",IF(ISNUMBER(Raw_Data!B84),Raw_Data!B84,IF(ISNUMBER(SEARCH("/",Raw_Data!B84)),IFERROR(DATE(VALUE(RIGHT(Raw_Data!B84,4)),VALUE(MID(Raw_Data!B84,4,2)),VALUE(LEFT(Raw_Data!B84,2))),"Invalid Date"),IFERROR(DATEVALUE(Raw_Data!B84),"Invalid Date"))))</f>
        <v/>
      </c>
      <c r="C84" s="17" t="str">
        <f>IF(TRIM(Raw_Data!C84)="","",PROPER(TRIM(Raw_Data!C84)))</f>
        <v>Unit H - Air Defence</v>
      </c>
      <c r="D84" s="17" t="str">
        <f>IF(TRIM(Raw_Data!D84)="","Not Specified",IFERROR(INDEX(Lookup_Tables!$H$6:$H$12,MATCH(TRIM(Raw_Data!D84),Lookup_Tables!$G$6:$G$12,0)),"Unknown - Review"))</f>
        <v>Eastern</v>
      </c>
      <c r="E84" s="17" t="str">
        <f>IF(TRIM(Raw_Data!E84)="","Not Specified",IFERROR(INDEX(Lookup_Tables!$B$6:$B$18,MATCH(TRIM(Raw_Data!E84),Lookup_Tables!$A$6:$A$18,0)),"Unknown - Review"))</f>
        <v>Construction Material</v>
      </c>
      <c r="F84" s="17" t="str">
        <f>IF(TRIM(Raw_Data!F84)="","",TRIM(Raw_Data!F84))</f>
        <v>Steel Rod Bundle</v>
      </c>
      <c r="G84" s="17">
        <f>IF(Raw_Data!G84="","",IF(VALUE(Raw_Data!G84)&lt;=0,"Invalid",VALUE(Raw_Data!G84)))</f>
        <v>452</v>
      </c>
      <c r="H84" s="17">
        <f>IF(Raw_Data!H84="","",IF(VALUE(Raw_Data!H84)&lt;=0,"Invalid",VALUE(Raw_Data!H84)))</f>
        <v>405</v>
      </c>
      <c r="I84" s="23">
        <f>IFERROR(VALUE(SUBSTITUTE(SUBSTITUTE(Raw_Data!I84,"₹",""),",","")),"")</f>
        <v>11380</v>
      </c>
      <c r="J84" s="17" t="str">
        <f>IF(TRIM(Raw_Data!J84)="","Not Specified",PROPER(TRIM(Raw_Data!J84)))</f>
        <v>Low</v>
      </c>
      <c r="K84" s="17" t="str">
        <f>IF(TRIM(Raw_Data!K84)="","Not Specified",IFERROR(INDEX(Lookup_Tables!$E$6:$E$13,MATCH(TRIM(Raw_Data!K84),Lookup_Tables!$D$6:$D$13,0)),"Unknown - Review"))</f>
        <v>Delivered</v>
      </c>
      <c r="L84" s="17" t="str">
        <f>IF(TRIM(Raw_Data!L84)="","",PROPER(TRIM(Raw_Data!L84)))</f>
        <v>Logistics Officer</v>
      </c>
      <c r="M84" s="22">
        <f>IF(Raw_Data!M84="","",IF(ISNUMBER(Raw_Data!M84),Raw_Data!M84,IF(ISNUMBER(SEARCH("/",Raw_Data!M84)),IFERROR(DATE(VALUE(RIGHT(Raw_Data!M84,4)),VALUE(MID(Raw_Data!M84,4,2)),VALUE(LEFT(Raw_Data!M84,2))),"Invalid Date"),IFERROR(DATEVALUE(Raw_Data!M84),"Invalid Date"))))</f>
        <v>46016</v>
      </c>
      <c r="N84" s="22" t="str">
        <f>IF(Raw_Data!N84="","",IF(ISNUMBER(Raw_Data!N84),Raw_Data!N84,IF(ISNUMBER(SEARCH("/",Raw_Data!N84)),IFERROR(DATE(VALUE(RIGHT(Raw_Data!N84,4)),VALUE(MID(Raw_Data!N84,4,2)),VALUE(LEFT(Raw_Data!N84,2))),"Invalid Date"),IFERROR(DATEVALUE(Raw_Data!N84),"Invalid Date"))))</f>
        <v/>
      </c>
      <c r="O84" s="22">
        <f>IF(Raw_Data!O84="","",IF(ISNUMBER(Raw_Data!O84),Raw_Data!O84,IF(ISNUMBER(SEARCH("/",Raw_Data!O84)),IFERROR(DATE(VALUE(RIGHT(Raw_Data!O84,4)),VALUE(MID(Raw_Data!O84,4,2)),VALUE(LEFT(Raw_Data!O84,2))),"Invalid Date"),IFERROR(DATEVALUE(Raw_Data!O84),"Invalid Date"))))</f>
        <v>46057</v>
      </c>
      <c r="P84" s="17" t="str">
        <f>IF(OR(TRIM(Raw_Data!P84)="",TRIM(Raw_Data!P84)="N/A",TRIM(Raw_Data!P84)="TBD",TRIM(Raw_Data!P84)="-"),"Not Assigned",PROPER(TRIM(Raw_Data!P84)))</f>
        <v>National Defence Stores</v>
      </c>
      <c r="Q84" s="24">
        <f t="shared" si="6"/>
        <v>4608900</v>
      </c>
      <c r="R84" s="17" t="str">
        <f t="shared" si="7"/>
        <v/>
      </c>
      <c r="S84" s="17" t="str">
        <f>IF(COUNTIF($A$2:A84,A84)&gt;1,"Duplicate","Unique")</f>
        <v>Unique</v>
      </c>
      <c r="T84" s="17" t="str">
        <f t="shared" si="8"/>
        <v>No</v>
      </c>
      <c r="U84" s="17" t="str">
        <f t="shared" si="9"/>
        <v>No</v>
      </c>
      <c r="V84" s="17" t="str">
        <f t="shared" si="10"/>
        <v>Yes</v>
      </c>
      <c r="W84" s="17" t="str">
        <f t="shared" si="11"/>
        <v/>
      </c>
    </row>
    <row r="85" spans="1:23" x14ac:dyDescent="0.3">
      <c r="A85" s="17" t="str">
        <f>TRIM(Raw_Data!A85)</f>
        <v>REQ-2025-0084</v>
      </c>
      <c r="B85" s="22" t="str">
        <f>IF(Raw_Data!B85="","",IF(ISNUMBER(Raw_Data!B85),Raw_Data!B85,IF(ISNUMBER(SEARCH("/",Raw_Data!B85)),IFERROR(DATE(VALUE(RIGHT(Raw_Data!B85,4)),VALUE(MID(Raw_Data!B85,4,2)),VALUE(LEFT(Raw_Data!B85,2))),"Invalid Date"),IFERROR(DATEVALUE(Raw_Data!B85),"Invalid Date"))))</f>
        <v/>
      </c>
      <c r="C85" s="17" t="str">
        <f>IF(TRIM(Raw_Data!C85)="","",PROPER(TRIM(Raw_Data!C85)))</f>
        <v>Unit D - Signals</v>
      </c>
      <c r="D85" s="17" t="str">
        <f>IF(TRIM(Raw_Data!D85)="","Not Specified",IFERROR(INDEX(Lookup_Tables!$H$6:$H$12,MATCH(TRIM(Raw_Data!D85),Lookup_Tables!$G$6:$G$12,0)),"Unknown - Review"))</f>
        <v>Western</v>
      </c>
      <c r="E85" s="17" t="str">
        <f>IF(TRIM(Raw_Data!E85)="","Not Specified",IFERROR(INDEX(Lookup_Tables!$B$6:$B$18,MATCH(TRIM(Raw_Data!E85),Lookup_Tables!$A$6:$A$18,0)),"Unknown - Review"))</f>
        <v>Vehicle Spares</v>
      </c>
      <c r="F85" s="17" t="str">
        <f>IF(TRIM(Raw_Data!F85)="","",TRIM(Raw_Data!F85))</f>
        <v>Truck Tyre 900x20</v>
      </c>
      <c r="G85" s="17">
        <f>IF(Raw_Data!G85="","",IF(VALUE(Raw_Data!G85)&lt;=0,"Invalid",VALUE(Raw_Data!G85)))</f>
        <v>200</v>
      </c>
      <c r="H85" s="17" t="str">
        <f>IF(Raw_Data!H85="","",IF(VALUE(Raw_Data!H85)&lt;=0,"Invalid",VALUE(Raw_Data!H85)))</f>
        <v/>
      </c>
      <c r="I85" s="23">
        <f>IFERROR(VALUE(SUBSTITUTE(SUBSTITUTE(Raw_Data!I85,"₹",""),",","")),"")</f>
        <v>6121.61</v>
      </c>
      <c r="J85" s="17" t="str">
        <f>IF(TRIM(Raw_Data!J85)="","Not Specified",PROPER(TRIM(Raw_Data!J85)))</f>
        <v>Low</v>
      </c>
      <c r="K85" s="17" t="str">
        <f>IF(TRIM(Raw_Data!K85)="","Not Specified",IFERROR(INDEX(Lookup_Tables!$E$6:$E$13,MATCH(TRIM(Raw_Data!K85),Lookup_Tables!$D$6:$D$13,0)),"Unknown - Review"))</f>
        <v>Rejected</v>
      </c>
      <c r="L85" s="17" t="str">
        <f>IF(TRIM(Raw_Data!L85)="","",PROPER(TRIM(Raw_Data!L85)))</f>
        <v>Logistics Officer</v>
      </c>
      <c r="M85" s="22" t="str">
        <f>IF(Raw_Data!M85="","",IF(ISNUMBER(Raw_Data!M85),Raw_Data!M85,IF(ISNUMBER(SEARCH("/",Raw_Data!M85)),IFERROR(DATE(VALUE(RIGHT(Raw_Data!M85,4)),VALUE(MID(Raw_Data!M85,4,2)),VALUE(LEFT(Raw_Data!M85,2))),"Invalid Date"),IFERROR(DATEVALUE(Raw_Data!M85),"Invalid Date"))))</f>
        <v/>
      </c>
      <c r="N85" s="22" t="str">
        <f>IF(Raw_Data!N85="","",IF(ISNUMBER(Raw_Data!N85),Raw_Data!N85,IF(ISNUMBER(SEARCH("/",Raw_Data!N85)),IFERROR(DATE(VALUE(RIGHT(Raw_Data!N85,4)),VALUE(MID(Raw_Data!N85,4,2)),VALUE(LEFT(Raw_Data!N85,2))),"Invalid Date"),IFERROR(DATEVALUE(Raw_Data!N85),"Invalid Date"))))</f>
        <v/>
      </c>
      <c r="O85" s="22" t="str">
        <f>IF(Raw_Data!O85="","",IF(ISNUMBER(Raw_Data!O85),Raw_Data!O85,IF(ISNUMBER(SEARCH("/",Raw_Data!O85)),IFERROR(DATE(VALUE(RIGHT(Raw_Data!O85,4)),VALUE(MID(Raw_Data!O85,4,2)),VALUE(LEFT(Raw_Data!O85,2))),"Invalid Date"),IFERROR(DATEVALUE(Raw_Data!O85),"Invalid Date"))))</f>
        <v/>
      </c>
      <c r="P85" s="17" t="str">
        <f>IF(OR(TRIM(Raw_Data!P85)="",TRIM(Raw_Data!P85)="N/A",TRIM(Raw_Data!P85)="TBD",TRIM(Raw_Data!P85)="-"),"Not Assigned",PROPER(TRIM(Raw_Data!P85)))</f>
        <v>National Defence Stores</v>
      </c>
      <c r="Q85" s="24" t="str">
        <f t="shared" si="6"/>
        <v/>
      </c>
      <c r="R85" s="17" t="str">
        <f t="shared" si="7"/>
        <v/>
      </c>
      <c r="S85" s="17" t="str">
        <f>IF(COUNTIF($A$2:A85,A85)&gt;1,"Duplicate","Unique")</f>
        <v>Unique</v>
      </c>
      <c r="T85" s="17" t="str">
        <f t="shared" si="8"/>
        <v>No</v>
      </c>
      <c r="U85" s="17" t="str">
        <f t="shared" si="9"/>
        <v>No</v>
      </c>
      <c r="V85" s="17" t="str">
        <f t="shared" si="10"/>
        <v>Yes</v>
      </c>
      <c r="W85" s="17" t="str">
        <f t="shared" si="11"/>
        <v/>
      </c>
    </row>
    <row r="86" spans="1:23" x14ac:dyDescent="0.3">
      <c r="A86" s="17" t="str">
        <f>TRIM(Raw_Data!A86)</f>
        <v>REQ-2025-0085</v>
      </c>
      <c r="B86" s="22">
        <f>IF(Raw_Data!B86="","",IF(ISNUMBER(Raw_Data!B86),Raw_Data!B86,IF(ISNUMBER(SEARCH("/",Raw_Data!B86)),IFERROR(DATE(VALUE(RIGHT(Raw_Data!B86,4)),VALUE(MID(Raw_Data!B86,4,2)),VALUE(LEFT(Raw_Data!B86,2))),"Invalid Date"),IFERROR(DATEVALUE(Raw_Data!B86),"Invalid Date"))))</f>
        <v>45799</v>
      </c>
      <c r="C86" s="17" t="str">
        <f>IF(TRIM(Raw_Data!C86)="","",PROPER(TRIM(Raw_Data!C86)))</f>
        <v>Unit F - Ordnance Depot</v>
      </c>
      <c r="D86" s="17" t="str">
        <f>IF(TRIM(Raw_Data!D86)="","Not Specified",IFERROR(INDEX(Lookup_Tables!$H$6:$H$12,MATCH(TRIM(Raw_Data!D86),Lookup_Tables!$G$6:$G$12,0)),"Unknown - Review"))</f>
        <v>Eastern</v>
      </c>
      <c r="E86" s="17" t="str">
        <f>IF(TRIM(Raw_Data!E86)="","Not Specified",IFERROR(INDEX(Lookup_Tables!$B$6:$B$18,MATCH(TRIM(Raw_Data!E86),Lookup_Tables!$A$6:$A$18,0)),"Unknown - Review"))</f>
        <v>Uniforms &amp; Clothing</v>
      </c>
      <c r="F86" s="17" t="str">
        <f>IF(TRIM(Raw_Data!F86)="","",TRIM(Raw_Data!F86))</f>
        <v>Winter Jacket</v>
      </c>
      <c r="G86" s="17">
        <f>IF(Raw_Data!G86="","",IF(VALUE(Raw_Data!G86)&lt;=0,"Invalid",VALUE(Raw_Data!G86)))</f>
        <v>403</v>
      </c>
      <c r="H86" s="17">
        <f>IF(Raw_Data!H86="","",IF(VALUE(Raw_Data!H86)&lt;=0,"Invalid",VALUE(Raw_Data!H86)))</f>
        <v>545</v>
      </c>
      <c r="I86" s="23">
        <f>IFERROR(VALUE(SUBSTITUTE(SUBSTITUTE(Raw_Data!I86,"₹",""),",","")),"")</f>
        <v>39431</v>
      </c>
      <c r="J86" s="17" t="str">
        <f>IF(TRIM(Raw_Data!J86)="","Not Specified",PROPER(TRIM(Raw_Data!J86)))</f>
        <v>Medium</v>
      </c>
      <c r="K86" s="17" t="str">
        <f>IF(TRIM(Raw_Data!K86)="","Not Specified",IFERROR(INDEX(Lookup_Tables!$E$6:$E$13,MATCH(TRIM(Raw_Data!K86),Lookup_Tables!$D$6:$D$13,0)),"Unknown - Review"))</f>
        <v>Dispatched</v>
      </c>
      <c r="L86" s="17" t="str">
        <f>IF(TRIM(Raw_Data!L86)="","",PROPER(TRIM(Raw_Data!L86)))</f>
        <v>Stores Officer</v>
      </c>
      <c r="M86" s="22" t="str">
        <f>IF(Raw_Data!M86="","",IF(ISNUMBER(Raw_Data!M86),Raw_Data!M86,IF(ISNUMBER(SEARCH("/",Raw_Data!M86)),IFERROR(DATE(VALUE(RIGHT(Raw_Data!M86,4)),VALUE(MID(Raw_Data!M86,4,2)),VALUE(LEFT(Raw_Data!M86,2))),"Invalid Date"),IFERROR(DATEVALUE(Raw_Data!M86),"Invalid Date"))))</f>
        <v/>
      </c>
      <c r="N86" s="22">
        <f>IF(Raw_Data!N86="","",IF(ISNUMBER(Raw_Data!N86),Raw_Data!N86,IF(ISNUMBER(SEARCH("/",Raw_Data!N86)),IFERROR(DATE(VALUE(RIGHT(Raw_Data!N86,4)),VALUE(MID(Raw_Data!N86,4,2)),VALUE(LEFT(Raw_Data!N86,2))),"Invalid Date"),IFERROR(DATEVALUE(Raw_Data!N86),"Invalid Date"))))</f>
        <v>45824</v>
      </c>
      <c r="O86" s="22" t="str">
        <f>IF(Raw_Data!O86="","",IF(ISNUMBER(Raw_Data!O86),Raw_Data!O86,IF(ISNUMBER(SEARCH("/",Raw_Data!O86)),IFERROR(DATE(VALUE(RIGHT(Raw_Data!O86,4)),VALUE(MID(Raw_Data!O86,4,2)),VALUE(LEFT(Raw_Data!O86,2))),"Invalid Date"),IFERROR(DATEVALUE(Raw_Data!O86),"Invalid Date"))))</f>
        <v/>
      </c>
      <c r="P86" s="17" t="str">
        <f>IF(OR(TRIM(Raw_Data!P86)="",TRIM(Raw_Data!P86)="N/A",TRIM(Raw_Data!P86)="TBD",TRIM(Raw_Data!P86)="-"),"Not Assigned",PROPER(TRIM(Raw_Data!P86)))</f>
        <v>Vikram Enterprises</v>
      </c>
      <c r="Q86" s="24">
        <f t="shared" si="6"/>
        <v>21489895</v>
      </c>
      <c r="R86" s="17" t="str">
        <f t="shared" si="7"/>
        <v/>
      </c>
      <c r="S86" s="17" t="str">
        <f>IF(COUNTIF($A$2:A86,A86)&gt;1,"Duplicate","Unique")</f>
        <v>Unique</v>
      </c>
      <c r="T86" s="17" t="str">
        <f t="shared" si="8"/>
        <v>No</v>
      </c>
      <c r="U86" s="17" t="str">
        <f t="shared" si="9"/>
        <v>Yes</v>
      </c>
      <c r="V86" s="17" t="str">
        <f t="shared" si="10"/>
        <v>No</v>
      </c>
      <c r="W86" s="17" t="str">
        <f t="shared" si="11"/>
        <v>May-2025</v>
      </c>
    </row>
    <row r="87" spans="1:23" x14ac:dyDescent="0.3">
      <c r="A87" s="17" t="str">
        <f>TRIM(Raw_Data!A87)</f>
        <v>REQ-2025-0086</v>
      </c>
      <c r="B87" s="22">
        <f>IF(Raw_Data!B87="","",IF(ISNUMBER(Raw_Data!B87),Raw_Data!B87,IF(ISNUMBER(SEARCH("/",Raw_Data!B87)),IFERROR(DATE(VALUE(RIGHT(Raw_Data!B87,4)),VALUE(MID(Raw_Data!B87,4,2)),VALUE(LEFT(Raw_Data!B87,2))),"Invalid Date"),IFERROR(DATEVALUE(Raw_Data!B87),"Invalid Date"))))</f>
        <v>45958</v>
      </c>
      <c r="C87" s="17" t="str">
        <f>IF(TRIM(Raw_Data!C87)="","",PROPER(TRIM(Raw_Data!C87)))</f>
        <v>Unit C - Engineers</v>
      </c>
      <c r="D87" s="17" t="str">
        <f>IF(TRIM(Raw_Data!D87)="","Not Specified",IFERROR(INDEX(Lookup_Tables!$H$6:$H$12,MATCH(TRIM(Raw_Data!D87),Lookup_Tables!$G$6:$G$12,0)),"Unknown - Review"))</f>
        <v>Eastern</v>
      </c>
      <c r="E87" s="17" t="str">
        <f>IF(TRIM(Raw_Data!E87)="","Not Specified",IFERROR(INDEX(Lookup_Tables!$B$6:$B$18,MATCH(TRIM(Raw_Data!E87),Lookup_Tables!$A$6:$A$18,0)),"Unknown - Review"))</f>
        <v>Vehicle Spares</v>
      </c>
      <c r="F87" s="17" t="str">
        <f>IF(TRIM(Raw_Data!F87)="","",TRIM(Raw_Data!F87))</f>
        <v>Truck Tyre 900x20</v>
      </c>
      <c r="G87" s="17">
        <f>IF(Raw_Data!G87="","",IF(VALUE(Raw_Data!G87)&lt;=0,"Invalid",VALUE(Raw_Data!G87)))</f>
        <v>25</v>
      </c>
      <c r="H87" s="17" t="str">
        <f>IF(Raw_Data!H87="","",IF(VALUE(Raw_Data!H87)&lt;=0,"Invalid",VALUE(Raw_Data!H87)))</f>
        <v/>
      </c>
      <c r="I87" s="23">
        <f>IFERROR(VALUE(SUBSTITUTE(SUBSTITUTE(Raw_Data!I87,"₹",""),",","")),"")</f>
        <v>42698.3</v>
      </c>
      <c r="J87" s="17" t="str">
        <f>IF(TRIM(Raw_Data!J87)="","Not Specified",PROPER(TRIM(Raw_Data!J87)))</f>
        <v>Low</v>
      </c>
      <c r="K87" s="17" t="str">
        <f>IF(TRIM(Raw_Data!K87)="","Not Specified",IFERROR(INDEX(Lookup_Tables!$E$6:$E$13,MATCH(TRIM(Raw_Data!K87),Lookup_Tables!$D$6:$D$13,0)),"Unknown - Review"))</f>
        <v>Pending</v>
      </c>
      <c r="L87" s="17" t="str">
        <f>IF(TRIM(Raw_Data!L87)="","",PROPER(TRIM(Raw_Data!L87)))</f>
        <v>Logistics Officer</v>
      </c>
      <c r="M87" s="22" t="str">
        <f>IF(Raw_Data!M87="","",IF(ISNUMBER(Raw_Data!M87),Raw_Data!M87,IF(ISNUMBER(SEARCH("/",Raw_Data!M87)),IFERROR(DATE(VALUE(RIGHT(Raw_Data!M87,4)),VALUE(MID(Raw_Data!M87,4,2)),VALUE(LEFT(Raw_Data!M87,2))),"Invalid Date"),IFERROR(DATEVALUE(Raw_Data!M87),"Invalid Date"))))</f>
        <v/>
      </c>
      <c r="N87" s="22" t="str">
        <f>IF(Raw_Data!N87="","",IF(ISNUMBER(Raw_Data!N87),Raw_Data!N87,IF(ISNUMBER(SEARCH("/",Raw_Data!N87)),IFERROR(DATE(VALUE(RIGHT(Raw_Data!N87,4)),VALUE(MID(Raw_Data!N87,4,2)),VALUE(LEFT(Raw_Data!N87,2))),"Invalid Date"),IFERROR(DATEVALUE(Raw_Data!N87),"Invalid Date"))))</f>
        <v/>
      </c>
      <c r="O87" s="22" t="str">
        <f>IF(Raw_Data!O87="","",IF(ISNUMBER(Raw_Data!O87),Raw_Data!O87,IF(ISNUMBER(SEARCH("/",Raw_Data!O87)),IFERROR(DATE(VALUE(RIGHT(Raw_Data!O87,4)),VALUE(MID(Raw_Data!O87,4,2)),VALUE(LEFT(Raw_Data!O87,2))),"Invalid Date"),IFERROR(DATEVALUE(Raw_Data!O87),"Invalid Date"))))</f>
        <v/>
      </c>
      <c r="P87" s="17" t="str">
        <f>IF(OR(TRIM(Raw_Data!P87)="",TRIM(Raw_Data!P87)="N/A",TRIM(Raw_Data!P87)="TBD",TRIM(Raw_Data!P87)="-"),"Not Assigned",PROPER(TRIM(Raw_Data!P87)))</f>
        <v>Shakti Traders</v>
      </c>
      <c r="Q87" s="24" t="str">
        <f t="shared" si="6"/>
        <v/>
      </c>
      <c r="R87" s="17" t="str">
        <f t="shared" si="7"/>
        <v/>
      </c>
      <c r="S87" s="17" t="str">
        <f>IF(COUNTIF($A$2:A87,A87)&gt;1,"Duplicate","Unique")</f>
        <v>Unique</v>
      </c>
      <c r="T87" s="17" t="str">
        <f t="shared" si="8"/>
        <v>No</v>
      </c>
      <c r="U87" s="17" t="str">
        <f t="shared" si="9"/>
        <v>No</v>
      </c>
      <c r="V87" s="17" t="str">
        <f t="shared" si="10"/>
        <v>Yes</v>
      </c>
      <c r="W87" s="17" t="str">
        <f t="shared" si="11"/>
        <v>Oct-2025</v>
      </c>
    </row>
    <row r="88" spans="1:23" x14ac:dyDescent="0.3">
      <c r="A88" s="17" t="str">
        <f>TRIM(Raw_Data!A88)</f>
        <v>REQ-2025-0087</v>
      </c>
      <c r="B88" s="22">
        <f>IF(Raw_Data!B88="","",IF(ISNUMBER(Raw_Data!B88),Raw_Data!B88,IF(ISNUMBER(SEARCH("/",Raw_Data!B88)),IFERROR(DATE(VALUE(RIGHT(Raw_Data!B88,4)),VALUE(MID(Raw_Data!B88,4,2)),VALUE(LEFT(Raw_Data!B88,2))),"Invalid Date"),IFERROR(DATEVALUE(Raw_Data!B88),"Invalid Date"))))</f>
        <v>45687</v>
      </c>
      <c r="C88" s="17" t="str">
        <f>IF(TRIM(Raw_Data!C88)="","",PROPER(TRIM(Raw_Data!C88)))</f>
        <v>Unit B - Artillery</v>
      </c>
      <c r="D88" s="17" t="str">
        <f>IF(TRIM(Raw_Data!D88)="","Not Specified",IFERROR(INDEX(Lookup_Tables!$H$6:$H$12,MATCH(TRIM(Raw_Data!D88),Lookup_Tables!$G$6:$G$12,0)),"Unknown - Review"))</f>
        <v>Southern</v>
      </c>
      <c r="E88" s="17" t="str">
        <f>IF(TRIM(Raw_Data!E88)="","Not Specified",IFERROR(INDEX(Lookup_Tables!$B$6:$B$18,MATCH(TRIM(Raw_Data!E88),Lookup_Tables!$A$6:$A$18,0)),"Unknown - Review"))</f>
        <v>Construction Material</v>
      </c>
      <c r="F88" s="17" t="str">
        <f>IF(TRIM(Raw_Data!F88)="","",TRIM(Raw_Data!F88))</f>
        <v>Steel Rod Bundle</v>
      </c>
      <c r="G88" s="17">
        <f>IF(Raw_Data!G88="","",IF(VALUE(Raw_Data!G88)&lt;=0,"Invalid",VALUE(Raw_Data!G88)))</f>
        <v>237</v>
      </c>
      <c r="H88" s="17">
        <f>IF(Raw_Data!H88="","",IF(VALUE(Raw_Data!H88)&lt;=0,"Invalid",VALUE(Raw_Data!H88)))</f>
        <v>308</v>
      </c>
      <c r="I88" s="23">
        <f>IFERROR(VALUE(SUBSTITUTE(SUBSTITUTE(Raw_Data!I88,"₹",""),",","")),"")</f>
        <v>29663.65</v>
      </c>
      <c r="J88" s="17" t="str">
        <f>IF(TRIM(Raw_Data!J88)="","Not Specified",PROPER(TRIM(Raw_Data!J88)))</f>
        <v>Routine</v>
      </c>
      <c r="K88" s="17" t="str">
        <f>IF(TRIM(Raw_Data!K88)="","Not Specified",IFERROR(INDEX(Lookup_Tables!$E$6:$E$13,MATCH(TRIM(Raw_Data!K88),Lookup_Tables!$D$6:$D$13,0)),"Unknown - Review"))</f>
        <v>Approved</v>
      </c>
      <c r="L88" s="17" t="str">
        <f>IF(TRIM(Raw_Data!L88)="","",PROPER(TRIM(Raw_Data!L88)))</f>
        <v>Quartermaster</v>
      </c>
      <c r="M88" s="22" t="str">
        <f>IF(Raw_Data!M88="","",IF(ISNUMBER(Raw_Data!M88),Raw_Data!M88,IF(ISNUMBER(SEARCH("/",Raw_Data!M88)),IFERROR(DATE(VALUE(RIGHT(Raw_Data!M88,4)),VALUE(MID(Raw_Data!M88,4,2)),VALUE(LEFT(Raw_Data!M88,2))),"Invalid Date"),IFERROR(DATEVALUE(Raw_Data!M88),"Invalid Date"))))</f>
        <v/>
      </c>
      <c r="N88" s="22">
        <f>IF(Raw_Data!N88="","",IF(ISNUMBER(Raw_Data!N88),Raw_Data!N88,IF(ISNUMBER(SEARCH("/",Raw_Data!N88)),IFERROR(DATE(VALUE(RIGHT(Raw_Data!N88,4)),VALUE(MID(Raw_Data!N88,4,2)),VALUE(LEFT(Raw_Data!N88,2))),"Invalid Date"),IFERROR(DATEVALUE(Raw_Data!N88),"Invalid Date"))))</f>
        <v>45698</v>
      </c>
      <c r="O88" s="22" t="str">
        <f>IF(Raw_Data!O88="","",IF(ISNUMBER(Raw_Data!O88),Raw_Data!O88,IF(ISNUMBER(SEARCH("/",Raw_Data!O88)),IFERROR(DATE(VALUE(RIGHT(Raw_Data!O88,4)),VALUE(MID(Raw_Data!O88,4,2)),VALUE(LEFT(Raw_Data!O88,2))),"Invalid Date"),IFERROR(DATEVALUE(Raw_Data!O88),"Invalid Date"))))</f>
        <v/>
      </c>
      <c r="P88" s="17" t="str">
        <f>IF(OR(TRIM(Raw_Data!P88)="",TRIM(Raw_Data!P88)="N/A",TRIM(Raw_Data!P88)="TBD",TRIM(Raw_Data!P88)="-"),"Not Assigned",PROPER(TRIM(Raw_Data!P88)))</f>
        <v>Bharat Logistics Pvt Ltd</v>
      </c>
      <c r="Q88" s="24">
        <f t="shared" si="6"/>
        <v>9136404.2000000011</v>
      </c>
      <c r="R88" s="17" t="str">
        <f t="shared" si="7"/>
        <v/>
      </c>
      <c r="S88" s="17" t="str">
        <f>IF(COUNTIF($A$2:A88,A88)&gt;1,"Duplicate","Unique")</f>
        <v>Unique</v>
      </c>
      <c r="T88" s="17" t="str">
        <f t="shared" si="8"/>
        <v>No</v>
      </c>
      <c r="U88" s="17" t="str">
        <f t="shared" si="9"/>
        <v>Yes</v>
      </c>
      <c r="V88" s="17" t="str">
        <f t="shared" si="10"/>
        <v>No</v>
      </c>
      <c r="W88" s="17" t="str">
        <f t="shared" si="11"/>
        <v>Jan-2025</v>
      </c>
    </row>
    <row r="89" spans="1:23" x14ac:dyDescent="0.3">
      <c r="A89" s="17" t="str">
        <f>TRIM(Raw_Data!A89)</f>
        <v>REQ-2025-0088</v>
      </c>
      <c r="B89" s="22" t="str">
        <f>IF(Raw_Data!B89="","",IF(ISNUMBER(Raw_Data!B89),Raw_Data!B89,IF(ISNUMBER(SEARCH("/",Raw_Data!B89)),IFERROR(DATE(VALUE(RIGHT(Raw_Data!B89,4)),VALUE(MID(Raw_Data!B89,4,2)),VALUE(LEFT(Raw_Data!B89,2))),"Invalid Date"),IFERROR(DATEVALUE(Raw_Data!B89),"Invalid Date"))))</f>
        <v/>
      </c>
      <c r="C89" s="17" t="str">
        <f>IF(TRIM(Raw_Data!C89)="","",PROPER(TRIM(Raw_Data!C89)))</f>
        <v>Unit B - Artillery</v>
      </c>
      <c r="D89" s="17" t="str">
        <f>IF(TRIM(Raw_Data!D89)="","Not Specified",IFERROR(INDEX(Lookup_Tables!$H$6:$H$12,MATCH(TRIM(Raw_Data!D89),Lookup_Tables!$G$6:$G$12,0)),"Unknown - Review"))</f>
        <v>Southern</v>
      </c>
      <c r="E89" s="17" t="str">
        <f>IF(TRIM(Raw_Data!E89)="","Not Specified",IFERROR(INDEX(Lookup_Tables!$B$6:$B$18,MATCH(TRIM(Raw_Data!E89),Lookup_Tables!$A$6:$A$18,0)),"Unknown - Review"))</f>
        <v>Tents &amp; Shelter</v>
      </c>
      <c r="F89" s="17" t="str">
        <f>IF(TRIM(Raw_Data!F89)="","",TRIM(Raw_Data!F89))</f>
        <v>Camouflage Net</v>
      </c>
      <c r="G89" s="17">
        <f>IF(Raw_Data!G89="","",IF(VALUE(Raw_Data!G89)&lt;=0,"Invalid",VALUE(Raw_Data!G89)))</f>
        <v>85</v>
      </c>
      <c r="H89" s="17">
        <f>IF(Raw_Data!H89="","",IF(VALUE(Raw_Data!H89)&lt;=0,"Invalid",VALUE(Raw_Data!H89)))</f>
        <v>74</v>
      </c>
      <c r="I89" s="23">
        <f>IFERROR(VALUE(SUBSTITUTE(SUBSTITUTE(Raw_Data!I89,"₹",""),",","")),"")</f>
        <v>32566.61</v>
      </c>
      <c r="J89" s="17" t="str">
        <f>IF(TRIM(Raw_Data!J89)="","Not Specified",PROPER(TRIM(Raw_Data!J89)))</f>
        <v>Medium</v>
      </c>
      <c r="K89" s="17" t="str">
        <f>IF(TRIM(Raw_Data!K89)="","Not Specified",IFERROR(INDEX(Lookup_Tables!$E$6:$E$13,MATCH(TRIM(Raw_Data!K89),Lookup_Tables!$D$6:$D$13,0)),"Unknown - Review"))</f>
        <v>Dispatched</v>
      </c>
      <c r="L89" s="17" t="str">
        <f>IF(TRIM(Raw_Data!L89)="","",PROPER(TRIM(Raw_Data!L89)))</f>
        <v>Stores Officer</v>
      </c>
      <c r="M89" s="22">
        <f>IF(Raw_Data!M89="","",IF(ISNUMBER(Raw_Data!M89),Raw_Data!M89,IF(ISNUMBER(SEARCH("/",Raw_Data!M89)),IFERROR(DATE(VALUE(RIGHT(Raw_Data!M89,4)),VALUE(MID(Raw_Data!M89,4,2)),VALUE(LEFT(Raw_Data!M89,2))),"Invalid Date"),IFERROR(DATEVALUE(Raw_Data!M89),"Invalid Date"))))</f>
        <v>45690</v>
      </c>
      <c r="N89" s="22">
        <f>IF(Raw_Data!N89="","",IF(ISNUMBER(Raw_Data!N89),Raw_Data!N89,IF(ISNUMBER(SEARCH("/",Raw_Data!N89)),IFERROR(DATE(VALUE(RIGHT(Raw_Data!N89,4)),VALUE(MID(Raw_Data!N89,4,2)),VALUE(LEFT(Raw_Data!N89,2))),"Invalid Date"),IFERROR(DATEVALUE(Raw_Data!N89),"Invalid Date"))))</f>
        <v>45718</v>
      </c>
      <c r="O89" s="22" t="str">
        <f>IF(Raw_Data!O89="","",IF(ISNUMBER(Raw_Data!O89),Raw_Data!O89,IF(ISNUMBER(SEARCH("/",Raw_Data!O89)),IFERROR(DATE(VALUE(RIGHT(Raw_Data!O89,4)),VALUE(MID(Raw_Data!O89,4,2)),VALUE(LEFT(Raw_Data!O89,2))),"Invalid Date"),IFERROR(DATEVALUE(Raw_Data!O89),"Invalid Date"))))</f>
        <v/>
      </c>
      <c r="P89" s="17" t="str">
        <f>IF(OR(TRIM(Raw_Data!P89)="",TRIM(Raw_Data!P89)="N/A",TRIM(Raw_Data!P89)="TBD",TRIM(Raw_Data!P89)="-"),"Not Assigned",PROPER(TRIM(Raw_Data!P89)))</f>
        <v>Bharat Logistics Pvt Ltd</v>
      </c>
      <c r="Q89" s="24">
        <f t="shared" si="6"/>
        <v>2409929.14</v>
      </c>
      <c r="R89" s="17" t="str">
        <f t="shared" si="7"/>
        <v/>
      </c>
      <c r="S89" s="17" t="str">
        <f>IF(COUNTIF($A$2:A89,A89)&gt;1,"Duplicate","Unique")</f>
        <v>Unique</v>
      </c>
      <c r="T89" s="17" t="str">
        <f t="shared" si="8"/>
        <v>No</v>
      </c>
      <c r="U89" s="17" t="str">
        <f t="shared" si="9"/>
        <v>No</v>
      </c>
      <c r="V89" s="17" t="str">
        <f t="shared" si="10"/>
        <v>Yes</v>
      </c>
      <c r="W89" s="17" t="str">
        <f t="shared" si="11"/>
        <v/>
      </c>
    </row>
    <row r="90" spans="1:23" x14ac:dyDescent="0.3">
      <c r="A90" s="17" t="str">
        <f>TRIM(Raw_Data!A90)</f>
        <v>REQ-2025-0089</v>
      </c>
      <c r="B90" s="22">
        <f>IF(Raw_Data!B90="","",IF(ISNUMBER(Raw_Data!B90),Raw_Data!B90,IF(ISNUMBER(SEARCH("/",Raw_Data!B90)),IFERROR(DATE(VALUE(RIGHT(Raw_Data!B90,4)),VALUE(MID(Raw_Data!B90,4,2)),VALUE(LEFT(Raw_Data!B90,2))),"Invalid Date"),IFERROR(DATEVALUE(Raw_Data!B90),"Invalid Date"))))</f>
        <v>45772</v>
      </c>
      <c r="C90" s="17" t="str">
        <f>IF(TRIM(Raw_Data!C90)="","",PROPER(TRIM(Raw_Data!C90)))</f>
        <v>Unit F - Ordnance Depot</v>
      </c>
      <c r="D90" s="17" t="str">
        <f>IF(TRIM(Raw_Data!D90)="","Not Specified",IFERROR(INDEX(Lookup_Tables!$H$6:$H$12,MATCH(TRIM(Raw_Data!D90),Lookup_Tables!$G$6:$G$12,0)),"Unknown - Review"))</f>
        <v>Northern</v>
      </c>
      <c r="E90" s="17" t="str">
        <f>IF(TRIM(Raw_Data!E90)="","Not Specified",IFERROR(INDEX(Lookup_Tables!$B$6:$B$18,MATCH(TRIM(Raw_Data!E90),Lookup_Tables!$A$6:$A$18,0)),"Unknown - Review"))</f>
        <v>Rations</v>
      </c>
      <c r="F90" s="17" t="str">
        <f>IF(TRIM(Raw_Data!F90)="","",TRIM(Raw_Data!F90))</f>
        <v>Canned Vegetables</v>
      </c>
      <c r="G90" s="17">
        <f>IF(Raw_Data!G90="","",IF(VALUE(Raw_Data!G90)&lt;=0,"Invalid",VALUE(Raw_Data!G90)))</f>
        <v>40</v>
      </c>
      <c r="H90" s="17">
        <f>IF(Raw_Data!H90="","",IF(VALUE(Raw_Data!H90)&lt;=0,"Invalid",VALUE(Raw_Data!H90)))</f>
        <v>37</v>
      </c>
      <c r="I90" s="23">
        <f>IFERROR(VALUE(SUBSTITUTE(SUBSTITUTE(Raw_Data!I90,"₹",""),",","")),"")</f>
        <v>14084.8</v>
      </c>
      <c r="J90" s="17" t="str">
        <f>IF(TRIM(Raw_Data!J90)="","Not Specified",PROPER(TRIM(Raw_Data!J90)))</f>
        <v>High</v>
      </c>
      <c r="K90" s="17" t="str">
        <f>IF(TRIM(Raw_Data!K90)="","Not Specified",IFERROR(INDEX(Lookup_Tables!$E$6:$E$13,MATCH(TRIM(Raw_Data!K90),Lookup_Tables!$D$6:$D$13,0)),"Unknown - Review"))</f>
        <v>Delivered</v>
      </c>
      <c r="L90" s="17" t="str">
        <f>IF(TRIM(Raw_Data!L90)="","",PROPER(TRIM(Raw_Data!L90)))</f>
        <v>Unit Commander</v>
      </c>
      <c r="M90" s="22">
        <f>IF(Raw_Data!M90="","",IF(ISNUMBER(Raw_Data!M90),Raw_Data!M90,IF(ISNUMBER(SEARCH("/",Raw_Data!M90)),IFERROR(DATE(VALUE(RIGHT(Raw_Data!M90,4)),VALUE(MID(Raw_Data!M90,4,2)),VALUE(LEFT(Raw_Data!M90,2))),"Invalid Date"),IFERROR(DATEVALUE(Raw_Data!M90),"Invalid Date"))))</f>
        <v>45774</v>
      </c>
      <c r="N90" s="22" t="str">
        <f>IF(Raw_Data!N90="","",IF(ISNUMBER(Raw_Data!N90),Raw_Data!N90,IF(ISNUMBER(SEARCH("/",Raw_Data!N90)),IFERROR(DATE(VALUE(RIGHT(Raw_Data!N90,4)),VALUE(MID(Raw_Data!N90,4,2)),VALUE(LEFT(Raw_Data!N90,2))),"Invalid Date"),IFERROR(DATEVALUE(Raw_Data!N90),"Invalid Date"))))</f>
        <v/>
      </c>
      <c r="O90" s="22">
        <f>IF(Raw_Data!O90="","",IF(ISNUMBER(Raw_Data!O90),Raw_Data!O90,IF(ISNUMBER(SEARCH("/",Raw_Data!O90)),IFERROR(DATE(VALUE(RIGHT(Raw_Data!O90,4)),VALUE(MID(Raw_Data!O90,4,2)),VALUE(LEFT(Raw_Data!O90,2))),"Invalid Date"),IFERROR(DATEVALUE(Raw_Data!O90),"Invalid Date"))))</f>
        <v>45805</v>
      </c>
      <c r="P90" s="17" t="str">
        <f>IF(OR(TRIM(Raw_Data!P90)="",TRIM(Raw_Data!P90)="N/A",TRIM(Raw_Data!P90)="TBD",TRIM(Raw_Data!P90)="-"),"Not Assigned",PROPER(TRIM(Raw_Data!P90)))</f>
        <v>Bharat Logistics Pvt Ltd</v>
      </c>
      <c r="Q90" s="24">
        <f t="shared" si="6"/>
        <v>521137.6</v>
      </c>
      <c r="R90" s="17" t="str">
        <f t="shared" si="7"/>
        <v/>
      </c>
      <c r="S90" s="17" t="str">
        <f>IF(COUNTIF($A$2:A90,A90)&gt;1,"Duplicate","Unique")</f>
        <v>Unique</v>
      </c>
      <c r="T90" s="17" t="str">
        <f t="shared" si="8"/>
        <v>No</v>
      </c>
      <c r="U90" s="17" t="str">
        <f t="shared" si="9"/>
        <v>No</v>
      </c>
      <c r="V90" s="17" t="str">
        <f t="shared" si="10"/>
        <v>Yes</v>
      </c>
      <c r="W90" s="17" t="str">
        <f t="shared" si="11"/>
        <v>Apr-2025</v>
      </c>
    </row>
    <row r="91" spans="1:23" x14ac:dyDescent="0.3">
      <c r="A91" s="17" t="str">
        <f>TRIM(Raw_Data!A91)</f>
        <v>REQ-2025-0090</v>
      </c>
      <c r="B91" s="22">
        <f>IF(Raw_Data!B91="","",IF(ISNUMBER(Raw_Data!B91),Raw_Data!B91,IF(ISNUMBER(SEARCH("/",Raw_Data!B91)),IFERROR(DATE(VALUE(RIGHT(Raw_Data!B91,4)),VALUE(MID(Raw_Data!B91,4,2)),VALUE(LEFT(Raw_Data!B91,2))),"Invalid Date"),IFERROR(DATEVALUE(Raw_Data!B91),"Invalid Date"))))</f>
        <v>45711</v>
      </c>
      <c r="C91" s="17" t="str">
        <f>IF(TRIM(Raw_Data!C91)="","",PROPER(TRIM(Raw_Data!C91)))</f>
        <v>Unit A - Infantry</v>
      </c>
      <c r="D91" s="17" t="str">
        <f>IF(TRIM(Raw_Data!D91)="","Not Specified",IFERROR(INDEX(Lookup_Tables!$H$6:$H$12,MATCH(TRIM(Raw_Data!D91),Lookup_Tables!$G$6:$G$12,0)),"Unknown - Review"))</f>
        <v>Northern</v>
      </c>
      <c r="E91" s="17" t="str">
        <f>IF(TRIM(Raw_Data!E91)="","Not Specified",IFERROR(INDEX(Lookup_Tables!$B$6:$B$18,MATCH(TRIM(Raw_Data!E91),Lookup_Tables!$A$6:$A$18,0)),"Unknown - Review"))</f>
        <v>Construction Material</v>
      </c>
      <c r="F91" s="17" t="str">
        <f>IF(TRIM(Raw_Data!F91)="","",TRIM(Raw_Data!F91))</f>
        <v>Sandbag (Pack of 50)</v>
      </c>
      <c r="G91" s="17">
        <f>IF(Raw_Data!G91="","",IF(VALUE(Raw_Data!G91)&lt;=0,"Invalid",VALUE(Raw_Data!G91)))</f>
        <v>256</v>
      </c>
      <c r="H91" s="17">
        <f>IF(Raw_Data!H91="","",IF(VALUE(Raw_Data!H91)&lt;=0,"Invalid",VALUE(Raw_Data!H91)))</f>
        <v>190</v>
      </c>
      <c r="I91" s="23">
        <f>IFERROR(VALUE(SUBSTITUTE(SUBSTITUTE(Raw_Data!I91,"₹",""),",","")),"")</f>
        <v>12700.16</v>
      </c>
      <c r="J91" s="17" t="str">
        <f>IF(TRIM(Raw_Data!J91)="","Not Specified",PROPER(TRIM(Raw_Data!J91)))</f>
        <v>Medium</v>
      </c>
      <c r="K91" s="17" t="str">
        <f>IF(TRIM(Raw_Data!K91)="","Not Specified",IFERROR(INDEX(Lookup_Tables!$E$6:$E$13,MATCH(TRIM(Raw_Data!K91),Lookup_Tables!$D$6:$D$13,0)),"Unknown - Review"))</f>
        <v>Approved</v>
      </c>
      <c r="L91" s="17" t="str">
        <f>IF(TRIM(Raw_Data!L91)="","",PROPER(TRIM(Raw_Data!L91)))</f>
        <v>Unit Commander</v>
      </c>
      <c r="M91" s="22">
        <f>IF(Raw_Data!M91="","",IF(ISNUMBER(Raw_Data!M91),Raw_Data!M91,IF(ISNUMBER(SEARCH("/",Raw_Data!M91)),IFERROR(DATE(VALUE(RIGHT(Raw_Data!M91,4)),VALUE(MID(Raw_Data!M91,4,2)),VALUE(LEFT(Raw_Data!M91,2))),"Invalid Date"),IFERROR(DATEVALUE(Raw_Data!M91),"Invalid Date"))))</f>
        <v>45712</v>
      </c>
      <c r="N91" s="22">
        <f>IF(Raw_Data!N91="","",IF(ISNUMBER(Raw_Data!N91),Raw_Data!N91,IF(ISNUMBER(SEARCH("/",Raw_Data!N91)),IFERROR(DATE(VALUE(RIGHT(Raw_Data!N91,4)),VALUE(MID(Raw_Data!N91,4,2)),VALUE(LEFT(Raw_Data!N91,2))),"Invalid Date"),IFERROR(DATEVALUE(Raw_Data!N91),"Invalid Date"))))</f>
        <v>45724</v>
      </c>
      <c r="O91" s="22" t="str">
        <f>IF(Raw_Data!O91="","",IF(ISNUMBER(Raw_Data!O91),Raw_Data!O91,IF(ISNUMBER(SEARCH("/",Raw_Data!O91)),IFERROR(DATE(VALUE(RIGHT(Raw_Data!O91,4)),VALUE(MID(Raw_Data!O91,4,2)),VALUE(LEFT(Raw_Data!O91,2))),"Invalid Date"),IFERROR(DATEVALUE(Raw_Data!O91),"Invalid Date"))))</f>
        <v/>
      </c>
      <c r="P91" s="17" t="str">
        <f>IF(OR(TRIM(Raw_Data!P91)="",TRIM(Raw_Data!P91)="N/A",TRIM(Raw_Data!P91)="TBD",TRIM(Raw_Data!P91)="-"),"Not Assigned",PROPER(TRIM(Raw_Data!P91)))</f>
        <v>Rapid Vendors Ltd</v>
      </c>
      <c r="Q91" s="24">
        <f t="shared" si="6"/>
        <v>2413030.3999999999</v>
      </c>
      <c r="R91" s="17" t="str">
        <f t="shared" si="7"/>
        <v/>
      </c>
      <c r="S91" s="17" t="str">
        <f>IF(COUNTIF($A$2:A91,A91)&gt;1,"Duplicate","Unique")</f>
        <v>Unique</v>
      </c>
      <c r="T91" s="17" t="str">
        <f t="shared" si="8"/>
        <v>No</v>
      </c>
      <c r="U91" s="17" t="str">
        <f t="shared" si="9"/>
        <v>No</v>
      </c>
      <c r="V91" s="17" t="str">
        <f t="shared" si="10"/>
        <v>Yes</v>
      </c>
      <c r="W91" s="17" t="str">
        <f t="shared" si="11"/>
        <v>Feb-2025</v>
      </c>
    </row>
    <row r="92" spans="1:23" x14ac:dyDescent="0.3">
      <c r="A92" s="17" t="str">
        <f>TRIM(Raw_Data!A92)</f>
        <v>REQ-2025-0091</v>
      </c>
      <c r="B92" s="22">
        <f>IF(Raw_Data!B92="","",IF(ISNUMBER(Raw_Data!B92),Raw_Data!B92,IF(ISNUMBER(SEARCH("/",Raw_Data!B92)),IFERROR(DATE(VALUE(RIGHT(Raw_Data!B92,4)),VALUE(MID(Raw_Data!B92,4,2)),VALUE(LEFT(Raw_Data!B92,2))),"Invalid Date"),IFERROR(DATEVALUE(Raw_Data!B92),"Invalid Date"))))</f>
        <v>45696</v>
      </c>
      <c r="C92" s="17" t="str">
        <f>IF(TRIM(Raw_Data!C92)="","",PROPER(TRIM(Raw_Data!C92)))</f>
        <v>Unit F - Ordnance Depot</v>
      </c>
      <c r="D92" s="17" t="str">
        <f>IF(TRIM(Raw_Data!D92)="","Not Specified",IFERROR(INDEX(Lookup_Tables!$H$6:$H$12,MATCH(TRIM(Raw_Data!D92),Lookup_Tables!$G$6:$G$12,0)),"Unknown - Review"))</f>
        <v>Northern</v>
      </c>
      <c r="E92" s="17" t="str">
        <f>IF(TRIM(Raw_Data!E92)="","Not Specified",IFERROR(INDEX(Lookup_Tables!$B$6:$B$18,MATCH(TRIM(Raw_Data!E92),Lookup_Tables!$A$6:$A$18,0)),"Unknown - Review"))</f>
        <v>Communication Equipment</v>
      </c>
      <c r="F92" s="17" t="str">
        <f>IF(TRIM(Raw_Data!F92)="","",TRIM(Raw_Data!F92))</f>
        <v>Signal Cable (100m)</v>
      </c>
      <c r="G92" s="17">
        <f>IF(Raw_Data!G92="","",IF(VALUE(Raw_Data!G92)&lt;=0,"Invalid",VALUE(Raw_Data!G92)))</f>
        <v>84</v>
      </c>
      <c r="H92" s="17">
        <f>IF(Raw_Data!H92="","",IF(VALUE(Raw_Data!H92)&lt;=0,"Invalid",VALUE(Raw_Data!H92)))</f>
        <v>66</v>
      </c>
      <c r="I92" s="23">
        <f>IFERROR(VALUE(SUBSTITUTE(SUBSTITUTE(Raw_Data!I92,"₹",""),",","")),"")</f>
        <v>5565.04</v>
      </c>
      <c r="J92" s="17" t="str">
        <f>IF(TRIM(Raw_Data!J92)="","Not Specified",PROPER(TRIM(Raw_Data!J92)))</f>
        <v>Not Specified</v>
      </c>
      <c r="K92" s="17" t="str">
        <f>IF(TRIM(Raw_Data!K92)="","Not Specified",IFERROR(INDEX(Lookup_Tables!$E$6:$E$13,MATCH(TRIM(Raw_Data!K92),Lookup_Tables!$D$6:$D$13,0)),"Unknown - Review"))</f>
        <v>Delivered</v>
      </c>
      <c r="L92" s="17" t="str">
        <f>IF(TRIM(Raw_Data!L92)="","",PROPER(TRIM(Raw_Data!L92)))</f>
        <v>Quartermaster</v>
      </c>
      <c r="M92" s="22">
        <f>IF(Raw_Data!M92="","",IF(ISNUMBER(Raw_Data!M92),Raw_Data!M92,IF(ISNUMBER(SEARCH("/",Raw_Data!M92)),IFERROR(DATE(VALUE(RIGHT(Raw_Data!M92,4)),VALUE(MID(Raw_Data!M92,4,2)),VALUE(LEFT(Raw_Data!M92,2))),"Invalid Date"),IFERROR(DATEVALUE(Raw_Data!M92),"Invalid Date"))))</f>
        <v>45702</v>
      </c>
      <c r="N92" s="22">
        <f>IF(Raw_Data!N92="","",IF(ISNUMBER(Raw_Data!N92),Raw_Data!N92,IF(ISNUMBER(SEARCH("/",Raw_Data!N92)),IFERROR(DATE(VALUE(RIGHT(Raw_Data!N92,4)),VALUE(MID(Raw_Data!N92,4,2)),VALUE(LEFT(Raw_Data!N92,2))),"Invalid Date"),IFERROR(DATEVALUE(Raw_Data!N92),"Invalid Date"))))</f>
        <v>45731</v>
      </c>
      <c r="O92" s="22">
        <f>IF(Raw_Data!O92="","",IF(ISNUMBER(Raw_Data!O92),Raw_Data!O92,IF(ISNUMBER(SEARCH("/",Raw_Data!O92)),IFERROR(DATE(VALUE(RIGHT(Raw_Data!O92,4)),VALUE(MID(Raw_Data!O92,4,2)),VALUE(LEFT(Raw_Data!O92,2))),"Invalid Date"),IFERROR(DATEVALUE(Raw_Data!O92),"Invalid Date"))))</f>
        <v>45732</v>
      </c>
      <c r="P92" s="17" t="str">
        <f>IF(OR(TRIM(Raw_Data!P92)="",TRIM(Raw_Data!P92)="N/A",TRIM(Raw_Data!P92)="TBD",TRIM(Raw_Data!P92)="-"),"Not Assigned",PROPER(TRIM(Raw_Data!P92)))</f>
        <v>Central Ordnance Suppliers</v>
      </c>
      <c r="Q92" s="24">
        <f t="shared" si="6"/>
        <v>367292.64</v>
      </c>
      <c r="R92" s="17">
        <f t="shared" si="7"/>
        <v>1</v>
      </c>
      <c r="S92" s="17" t="str">
        <f>IF(COUNTIF($A$2:A92,A92)&gt;1,"Duplicate","Unique")</f>
        <v>Unique</v>
      </c>
      <c r="T92" s="17" t="str">
        <f t="shared" si="8"/>
        <v>No</v>
      </c>
      <c r="U92" s="17" t="str">
        <f t="shared" si="9"/>
        <v>No</v>
      </c>
      <c r="V92" s="17" t="str">
        <f t="shared" si="10"/>
        <v>Yes</v>
      </c>
      <c r="W92" s="17" t="str">
        <f t="shared" si="11"/>
        <v>Feb-2025</v>
      </c>
    </row>
    <row r="93" spans="1:23" x14ac:dyDescent="0.3">
      <c r="A93" s="17" t="str">
        <f>TRIM(Raw_Data!A93)</f>
        <v>REQ-2025-0092</v>
      </c>
      <c r="B93" s="22" t="str">
        <f>IF(Raw_Data!B93="","",IF(ISNUMBER(Raw_Data!B93),Raw_Data!B93,IF(ISNUMBER(SEARCH("/",Raw_Data!B93)),IFERROR(DATE(VALUE(RIGHT(Raw_Data!B93,4)),VALUE(MID(Raw_Data!B93,4,2)),VALUE(LEFT(Raw_Data!B93,2))),"Invalid Date"),IFERROR(DATEVALUE(Raw_Data!B93),"Invalid Date"))))</f>
        <v/>
      </c>
      <c r="C93" s="17" t="str">
        <f>IF(TRIM(Raw_Data!C93)="","",PROPER(TRIM(Raw_Data!C93)))</f>
        <v>Unit A - Infantry</v>
      </c>
      <c r="D93" s="17" t="str">
        <f>IF(TRIM(Raw_Data!D93)="","Not Specified",IFERROR(INDEX(Lookup_Tables!$H$6:$H$12,MATCH(TRIM(Raw_Data!D93),Lookup_Tables!$G$6:$G$12,0)),"Unknown - Review"))</f>
        <v>Western</v>
      </c>
      <c r="E93" s="17" t="str">
        <f>IF(TRIM(Raw_Data!E93)="","Not Specified",IFERROR(INDEX(Lookup_Tables!$B$6:$B$18,MATCH(TRIM(Raw_Data!E93),Lookup_Tables!$A$6:$A$18,0)),"Unknown - Review"))</f>
        <v>Tents &amp; Shelter</v>
      </c>
      <c r="F93" s="17" t="str">
        <f>IF(TRIM(Raw_Data!F93)="","",TRIM(Raw_Data!F93))</f>
        <v>Ground Sheet</v>
      </c>
      <c r="G93" s="17" t="str">
        <f>IF(Raw_Data!G93="","",IF(VALUE(Raw_Data!G93)&lt;=0,"Invalid",VALUE(Raw_Data!G93)))</f>
        <v>Invalid</v>
      </c>
      <c r="H93" s="17" t="str">
        <f>IF(Raw_Data!H93="","",IF(VALUE(Raw_Data!H93)&lt;=0,"Invalid",VALUE(Raw_Data!H93)))</f>
        <v/>
      </c>
      <c r="I93" s="23">
        <f>IFERROR(VALUE(SUBSTITUTE(SUBSTITUTE(Raw_Data!I93,"₹",""),",","")),"")</f>
        <v>37392</v>
      </c>
      <c r="J93" s="17" t="str">
        <f>IF(TRIM(Raw_Data!J93)="","Not Specified",PROPER(TRIM(Raw_Data!J93)))</f>
        <v>High</v>
      </c>
      <c r="K93" s="17" t="str">
        <f>IF(TRIM(Raw_Data!K93)="","Not Specified",IFERROR(INDEX(Lookup_Tables!$E$6:$E$13,MATCH(TRIM(Raw_Data!K93),Lookup_Tables!$D$6:$D$13,0)),"Unknown - Review"))</f>
        <v>Pending</v>
      </c>
      <c r="L93" s="17" t="str">
        <f>IF(TRIM(Raw_Data!L93)="","",PROPER(TRIM(Raw_Data!L93)))</f>
        <v>Logistics Officer</v>
      </c>
      <c r="M93" s="22" t="str">
        <f>IF(Raw_Data!M93="","",IF(ISNUMBER(Raw_Data!M93),Raw_Data!M93,IF(ISNUMBER(SEARCH("/",Raw_Data!M93)),IFERROR(DATE(VALUE(RIGHT(Raw_Data!M93,4)),VALUE(MID(Raw_Data!M93,4,2)),VALUE(LEFT(Raw_Data!M93,2))),"Invalid Date"),IFERROR(DATEVALUE(Raw_Data!M93),"Invalid Date"))))</f>
        <v/>
      </c>
      <c r="N93" s="22" t="str">
        <f>IF(Raw_Data!N93="","",IF(ISNUMBER(Raw_Data!N93),Raw_Data!N93,IF(ISNUMBER(SEARCH("/",Raw_Data!N93)),IFERROR(DATE(VALUE(RIGHT(Raw_Data!N93,4)),VALUE(MID(Raw_Data!N93,4,2)),VALUE(LEFT(Raw_Data!N93,2))),"Invalid Date"),IFERROR(DATEVALUE(Raw_Data!N93),"Invalid Date"))))</f>
        <v/>
      </c>
      <c r="O93" s="22" t="str">
        <f>IF(Raw_Data!O93="","",IF(ISNUMBER(Raw_Data!O93),Raw_Data!O93,IF(ISNUMBER(SEARCH("/",Raw_Data!O93)),IFERROR(DATE(VALUE(RIGHT(Raw_Data!O93,4)),VALUE(MID(Raw_Data!O93,4,2)),VALUE(LEFT(Raw_Data!O93,2))),"Invalid Date"),IFERROR(DATEVALUE(Raw_Data!O93),"Invalid Date"))))</f>
        <v/>
      </c>
      <c r="P93" s="17" t="str">
        <f>IF(OR(TRIM(Raw_Data!P93)="",TRIM(Raw_Data!P93)="N/A",TRIM(Raw_Data!P93)="TBD",TRIM(Raw_Data!P93)="-"),"Not Assigned",PROPER(TRIM(Raw_Data!P93)))</f>
        <v>Not Assigned</v>
      </c>
      <c r="Q93" s="24" t="str">
        <f t="shared" si="6"/>
        <v/>
      </c>
      <c r="R93" s="17" t="str">
        <f t="shared" si="7"/>
        <v/>
      </c>
      <c r="S93" s="17" t="str">
        <f>IF(COUNTIF($A$2:A93,A93)&gt;1,"Duplicate","Unique")</f>
        <v>Unique</v>
      </c>
      <c r="T93" s="17" t="str">
        <f t="shared" si="8"/>
        <v>No</v>
      </c>
      <c r="U93" s="17" t="str">
        <f t="shared" si="9"/>
        <v>No</v>
      </c>
      <c r="V93" s="17" t="str">
        <f t="shared" si="10"/>
        <v>No</v>
      </c>
      <c r="W93" s="17" t="str">
        <f t="shared" si="11"/>
        <v/>
      </c>
    </row>
    <row r="94" spans="1:23" x14ac:dyDescent="0.3">
      <c r="A94" s="17" t="str">
        <f>TRIM(Raw_Data!A94)</f>
        <v>REQ-2025-0093</v>
      </c>
      <c r="B94" s="22">
        <f>IF(Raw_Data!B94="","",IF(ISNUMBER(Raw_Data!B94),Raw_Data!B94,IF(ISNUMBER(SEARCH("/",Raw_Data!B94)),IFERROR(DATE(VALUE(RIGHT(Raw_Data!B94,4)),VALUE(MID(Raw_Data!B94,4,2)),VALUE(LEFT(Raw_Data!B94,2))),"Invalid Date"),IFERROR(DATEVALUE(Raw_Data!B94),"Invalid Date"))))</f>
        <v>45744</v>
      </c>
      <c r="C94" s="17" t="str">
        <f>IF(TRIM(Raw_Data!C94)="","",PROPER(TRIM(Raw_Data!C94)))</f>
        <v>Unit F - Ordnance Depot</v>
      </c>
      <c r="D94" s="17" t="str">
        <f>IF(TRIM(Raw_Data!D94)="","Not Specified",IFERROR(INDEX(Lookup_Tables!$H$6:$H$12,MATCH(TRIM(Raw_Data!D94),Lookup_Tables!$G$6:$G$12,0)),"Unknown - Review"))</f>
        <v>Northern</v>
      </c>
      <c r="E94" s="17" t="str">
        <f>IF(TRIM(Raw_Data!E94)="","Not Specified",IFERROR(INDEX(Lookup_Tables!$B$6:$B$18,MATCH(TRIM(Raw_Data!E94),Lookup_Tables!$A$6:$A$18,0)),"Unknown - Review"))</f>
        <v>Office &amp; IT Equipment</v>
      </c>
      <c r="F94" s="17" t="str">
        <f>IF(TRIM(Raw_Data!F94)="","",TRIM(Raw_Data!F94))</f>
        <v>Desktop Computer</v>
      </c>
      <c r="G94" s="17" t="str">
        <f>IF(Raw_Data!G94="","",IF(VALUE(Raw_Data!G94)&lt;=0,"Invalid",VALUE(Raw_Data!G94)))</f>
        <v>Invalid</v>
      </c>
      <c r="H94" s="17">
        <f>IF(Raw_Data!H94="","",IF(VALUE(Raw_Data!H94)&lt;=0,"Invalid",VALUE(Raw_Data!H94)))</f>
        <v>194</v>
      </c>
      <c r="I94" s="23">
        <f>IFERROR(VALUE(SUBSTITUTE(SUBSTITUTE(Raw_Data!I94,"₹",""),",","")),"")</f>
        <v>9780.02</v>
      </c>
      <c r="J94" s="17" t="str">
        <f>IF(TRIM(Raw_Data!J94)="","Not Specified",PROPER(TRIM(Raw_Data!J94)))</f>
        <v>Routine</v>
      </c>
      <c r="K94" s="17" t="str">
        <f>IF(TRIM(Raw_Data!K94)="","Not Specified",IFERROR(INDEX(Lookup_Tables!$E$6:$E$13,MATCH(TRIM(Raw_Data!K94),Lookup_Tables!$D$6:$D$13,0)),"Unknown - Review"))</f>
        <v>Delivered</v>
      </c>
      <c r="L94" s="17" t="str">
        <f>IF(TRIM(Raw_Data!L94)="","",PROPER(TRIM(Raw_Data!L94)))</f>
        <v>Unit Commander</v>
      </c>
      <c r="M94" s="22">
        <f>IF(Raw_Data!M94="","",IF(ISNUMBER(Raw_Data!M94),Raw_Data!M94,IF(ISNUMBER(SEARCH("/",Raw_Data!M94)),IFERROR(DATE(VALUE(RIGHT(Raw_Data!M94,4)),VALUE(MID(Raw_Data!M94,4,2)),VALUE(LEFT(Raw_Data!M94,2))),"Invalid Date"),IFERROR(DATEVALUE(Raw_Data!M94),"Invalid Date"))))</f>
        <v>45747</v>
      </c>
      <c r="N94" s="22">
        <f>IF(Raw_Data!N94="","",IF(ISNUMBER(Raw_Data!N94),Raw_Data!N94,IF(ISNUMBER(SEARCH("/",Raw_Data!N94)),IFERROR(DATE(VALUE(RIGHT(Raw_Data!N94,4)),VALUE(MID(Raw_Data!N94,4,2)),VALUE(LEFT(Raw_Data!N94,2))),"Invalid Date"),IFERROR(DATEVALUE(Raw_Data!N94),"Invalid Date"))))</f>
        <v>45760</v>
      </c>
      <c r="O94" s="22">
        <f>IF(Raw_Data!O94="","",IF(ISNUMBER(Raw_Data!O94),Raw_Data!O94,IF(ISNUMBER(SEARCH("/",Raw_Data!O94)),IFERROR(DATE(VALUE(RIGHT(Raw_Data!O94,4)),VALUE(MID(Raw_Data!O94,4,2)),VALUE(LEFT(Raw_Data!O94,2))),"Invalid Date"),IFERROR(DATEVALUE(Raw_Data!O94),"Invalid Date"))))</f>
        <v>45763</v>
      </c>
      <c r="P94" s="17" t="str">
        <f>IF(OR(TRIM(Raw_Data!P94)="",TRIM(Raw_Data!P94)="N/A",TRIM(Raw_Data!P94)="TBD",TRIM(Raw_Data!P94)="-"),"Not Assigned",PROPER(TRIM(Raw_Data!P94)))</f>
        <v>Central Ordnance Suppliers</v>
      </c>
      <c r="Q94" s="24">
        <f t="shared" si="6"/>
        <v>1897323.8800000001</v>
      </c>
      <c r="R94" s="17">
        <f t="shared" si="7"/>
        <v>3</v>
      </c>
      <c r="S94" s="17" t="str">
        <f>IF(COUNTIF($A$2:A94,A94)&gt;1,"Duplicate","Unique")</f>
        <v>Unique</v>
      </c>
      <c r="T94" s="17" t="str">
        <f t="shared" si="8"/>
        <v>No</v>
      </c>
      <c r="U94" s="17" t="str">
        <f t="shared" si="9"/>
        <v>No</v>
      </c>
      <c r="V94" s="17" t="str">
        <f t="shared" si="10"/>
        <v>No</v>
      </c>
      <c r="W94" s="17" t="str">
        <f t="shared" si="11"/>
        <v>Mar-2025</v>
      </c>
    </row>
    <row r="95" spans="1:23" x14ac:dyDescent="0.3">
      <c r="A95" s="17" t="str">
        <f>TRIM(Raw_Data!A95)</f>
        <v>REQ-2025-0094</v>
      </c>
      <c r="B95" s="22">
        <f>IF(Raw_Data!B95="","",IF(ISNUMBER(Raw_Data!B95),Raw_Data!B95,IF(ISNUMBER(SEARCH("/",Raw_Data!B95)),IFERROR(DATE(VALUE(RIGHT(Raw_Data!B95,4)),VALUE(MID(Raw_Data!B95,4,2)),VALUE(LEFT(Raw_Data!B95,2))),"Invalid Date"),IFERROR(DATEVALUE(Raw_Data!B95),"Invalid Date"))))</f>
        <v>45947</v>
      </c>
      <c r="C95" s="17" t="str">
        <f>IF(TRIM(Raw_Data!C95)="","",PROPER(TRIM(Raw_Data!C95)))</f>
        <v>Unit F - Ordnance Depot</v>
      </c>
      <c r="D95" s="17" t="str">
        <f>IF(TRIM(Raw_Data!D95)="","Not Specified",IFERROR(INDEX(Lookup_Tables!$H$6:$H$12,MATCH(TRIM(Raw_Data!D95),Lookup_Tables!$G$6:$G$12,0)),"Unknown - Review"))</f>
        <v>Northern</v>
      </c>
      <c r="E95" s="17" t="str">
        <f>IF(TRIM(Raw_Data!E95)="","Not Specified",IFERROR(INDEX(Lookup_Tables!$B$6:$B$18,MATCH(TRIM(Raw_Data!E95),Lookup_Tables!$A$6:$A$18,0)),"Unknown - Review"))</f>
        <v>Office &amp; IT Equipment</v>
      </c>
      <c r="F95" s="17" t="str">
        <f>IF(TRIM(Raw_Data!F95)="","",TRIM(Raw_Data!F95))</f>
        <v>Office Chair</v>
      </c>
      <c r="G95" s="17" t="str">
        <f>IF(Raw_Data!G95="","",IF(VALUE(Raw_Data!G95)&lt;=0,"Invalid",VALUE(Raw_Data!G95)))</f>
        <v>Invalid</v>
      </c>
      <c r="H95" s="17">
        <f>IF(Raw_Data!H95="","",IF(VALUE(Raw_Data!H95)&lt;=0,"Invalid",VALUE(Raw_Data!H95)))</f>
        <v>68</v>
      </c>
      <c r="I95" s="23">
        <f>IFERROR(VALUE(SUBSTITUTE(SUBSTITUTE(Raw_Data!I95,"₹",""),",","")),"")</f>
        <v>36509</v>
      </c>
      <c r="J95" s="17" t="str">
        <f>IF(TRIM(Raw_Data!J95)="","Not Specified",PROPER(TRIM(Raw_Data!J95)))</f>
        <v>Routine</v>
      </c>
      <c r="K95" s="17" t="str">
        <f>IF(TRIM(Raw_Data!K95)="","Not Specified",IFERROR(INDEX(Lookup_Tables!$E$6:$E$13,MATCH(TRIM(Raw_Data!K95),Lookup_Tables!$D$6:$D$13,0)),"Unknown - Review"))</f>
        <v>Dispatched</v>
      </c>
      <c r="L95" s="17" t="str">
        <f>IF(TRIM(Raw_Data!L95)="","",PROPER(TRIM(Raw_Data!L95)))</f>
        <v>Stores Officer</v>
      </c>
      <c r="M95" s="22">
        <f>IF(Raw_Data!M95="","",IF(ISNUMBER(Raw_Data!M95),Raw_Data!M95,IF(ISNUMBER(SEARCH("/",Raw_Data!M95)),IFERROR(DATE(VALUE(RIGHT(Raw_Data!M95,4)),VALUE(MID(Raw_Data!M95,4,2)),VALUE(LEFT(Raw_Data!M95,2))),"Invalid Date"),IFERROR(DATEVALUE(Raw_Data!M95),"Invalid Date"))))</f>
        <v>45952</v>
      </c>
      <c r="N95" s="22">
        <f>IF(Raw_Data!N95="","",IF(ISNUMBER(Raw_Data!N95),Raw_Data!N95,IF(ISNUMBER(SEARCH("/",Raw_Data!N95)),IFERROR(DATE(VALUE(RIGHT(Raw_Data!N95,4)),VALUE(MID(Raw_Data!N95,4,2)),VALUE(LEFT(Raw_Data!N95,2))),"Invalid Date"),IFERROR(DATEVALUE(Raw_Data!N95),"Invalid Date"))))</f>
        <v>45958</v>
      </c>
      <c r="O95" s="22" t="str">
        <f>IF(Raw_Data!O95="","",IF(ISNUMBER(Raw_Data!O95),Raw_Data!O95,IF(ISNUMBER(SEARCH("/",Raw_Data!O95)),IFERROR(DATE(VALUE(RIGHT(Raw_Data!O95,4)),VALUE(MID(Raw_Data!O95,4,2)),VALUE(LEFT(Raw_Data!O95,2))),"Invalid Date"),IFERROR(DATEVALUE(Raw_Data!O95),"Invalid Date"))))</f>
        <v/>
      </c>
      <c r="P95" s="17" t="str">
        <f>IF(OR(TRIM(Raw_Data!P95)="",TRIM(Raw_Data!P95)="N/A",TRIM(Raw_Data!P95)="TBD",TRIM(Raw_Data!P95)="-"),"Not Assigned",PROPER(TRIM(Raw_Data!P95)))</f>
        <v>Central Ordnance Suppliers</v>
      </c>
      <c r="Q95" s="24">
        <f t="shared" si="6"/>
        <v>2482612</v>
      </c>
      <c r="R95" s="17" t="str">
        <f t="shared" si="7"/>
        <v/>
      </c>
      <c r="S95" s="17" t="str">
        <f>IF(COUNTIF($A$2:A95,A95)&gt;1,"Duplicate","Unique")</f>
        <v>Unique</v>
      </c>
      <c r="T95" s="17" t="str">
        <f t="shared" si="8"/>
        <v>No</v>
      </c>
      <c r="U95" s="17" t="str">
        <f t="shared" si="9"/>
        <v>No</v>
      </c>
      <c r="V95" s="17" t="str">
        <f t="shared" si="10"/>
        <v>No</v>
      </c>
      <c r="W95" s="17" t="str">
        <f t="shared" si="11"/>
        <v>Oct-2025</v>
      </c>
    </row>
    <row r="96" spans="1:23" x14ac:dyDescent="0.3">
      <c r="A96" s="17" t="str">
        <f>TRIM(Raw_Data!A96)</f>
        <v>REQ-2025-0095</v>
      </c>
      <c r="B96" s="22">
        <f>IF(Raw_Data!B96="","",IF(ISNUMBER(Raw_Data!B96),Raw_Data!B96,IF(ISNUMBER(SEARCH("/",Raw_Data!B96)),IFERROR(DATE(VALUE(RIGHT(Raw_Data!B96,4)),VALUE(MID(Raw_Data!B96,4,2)),VALUE(LEFT(Raw_Data!B96,2))),"Invalid Date"),IFERROR(DATEVALUE(Raw_Data!B96),"Invalid Date"))))</f>
        <v>45960</v>
      </c>
      <c r="C96" s="17" t="str">
        <f>IF(TRIM(Raw_Data!C96)="","",PROPER(TRIM(Raw_Data!C96)))</f>
        <v>Unit C - Engineers</v>
      </c>
      <c r="D96" s="17" t="str">
        <f>IF(TRIM(Raw_Data!D96)="","Not Specified",IFERROR(INDEX(Lookup_Tables!$H$6:$H$12,MATCH(TRIM(Raw_Data!D96),Lookup_Tables!$G$6:$G$12,0)),"Unknown - Review"))</f>
        <v>Eastern</v>
      </c>
      <c r="E96" s="17" t="str">
        <f>IF(TRIM(Raw_Data!E96)="","Not Specified",IFERROR(INDEX(Lookup_Tables!$B$6:$B$18,MATCH(TRIM(Raw_Data!E96),Lookup_Tables!$A$6:$A$18,0)),"Unknown - Review"))</f>
        <v>Fuel &amp; Lubricants</v>
      </c>
      <c r="F96" s="17" t="str">
        <f>IF(TRIM(Raw_Data!F96)="","",TRIM(Raw_Data!F96))</f>
        <v>Engine Grease (5kg)</v>
      </c>
      <c r="G96" s="17">
        <f>IF(Raw_Data!G96="","",IF(VALUE(Raw_Data!G96)&lt;=0,"Invalid",VALUE(Raw_Data!G96)))</f>
        <v>293</v>
      </c>
      <c r="H96" s="17" t="str">
        <f>IF(Raw_Data!H96="","",IF(VALUE(Raw_Data!H96)&lt;=0,"Invalid",VALUE(Raw_Data!H96)))</f>
        <v/>
      </c>
      <c r="I96" s="23" t="str">
        <f>IFERROR(VALUE(SUBSTITUTE(SUBSTITUTE(Raw_Data!I96,"₹",""),",","")),"")</f>
        <v/>
      </c>
      <c r="J96" s="17" t="str">
        <f>IF(TRIM(Raw_Data!J96)="","Not Specified",PROPER(TRIM(Raw_Data!J96)))</f>
        <v>Low</v>
      </c>
      <c r="K96" s="17" t="str">
        <f>IF(TRIM(Raw_Data!K96)="","Not Specified",IFERROR(INDEX(Lookup_Tables!$E$6:$E$13,MATCH(TRIM(Raw_Data!K96),Lookup_Tables!$D$6:$D$13,0)),"Unknown - Review"))</f>
        <v>Pending</v>
      </c>
      <c r="L96" s="17" t="str">
        <f>IF(TRIM(Raw_Data!L96)="","",PROPER(TRIM(Raw_Data!L96)))</f>
        <v>Logistics Officer</v>
      </c>
      <c r="M96" s="22" t="str">
        <f>IF(Raw_Data!M96="","",IF(ISNUMBER(Raw_Data!M96),Raw_Data!M96,IF(ISNUMBER(SEARCH("/",Raw_Data!M96)),IFERROR(DATE(VALUE(RIGHT(Raw_Data!M96,4)),VALUE(MID(Raw_Data!M96,4,2)),VALUE(LEFT(Raw_Data!M96,2))),"Invalid Date"),IFERROR(DATEVALUE(Raw_Data!M96),"Invalid Date"))))</f>
        <v/>
      </c>
      <c r="N96" s="22" t="str">
        <f>IF(Raw_Data!N96="","",IF(ISNUMBER(Raw_Data!N96),Raw_Data!N96,IF(ISNUMBER(SEARCH("/",Raw_Data!N96)),IFERROR(DATE(VALUE(RIGHT(Raw_Data!N96,4)),VALUE(MID(Raw_Data!N96,4,2)),VALUE(LEFT(Raw_Data!N96,2))),"Invalid Date"),IFERROR(DATEVALUE(Raw_Data!N96),"Invalid Date"))))</f>
        <v/>
      </c>
      <c r="O96" s="22" t="str">
        <f>IF(Raw_Data!O96="","",IF(ISNUMBER(Raw_Data!O96),Raw_Data!O96,IF(ISNUMBER(SEARCH("/",Raw_Data!O96)),IFERROR(DATE(VALUE(RIGHT(Raw_Data!O96,4)),VALUE(MID(Raw_Data!O96,4,2)),VALUE(LEFT(Raw_Data!O96,2))),"Invalid Date"),IFERROR(DATEVALUE(Raw_Data!O96),"Invalid Date"))))</f>
        <v/>
      </c>
      <c r="P96" s="17" t="str">
        <f>IF(OR(TRIM(Raw_Data!P96)="",TRIM(Raw_Data!P96)="N/A",TRIM(Raw_Data!P96)="TBD",TRIM(Raw_Data!P96)="-"),"Not Assigned",PROPER(TRIM(Raw_Data!P96)))</f>
        <v>Not Assigned</v>
      </c>
      <c r="Q96" s="24" t="str">
        <f t="shared" si="6"/>
        <v/>
      </c>
      <c r="R96" s="17" t="str">
        <f t="shared" si="7"/>
        <v/>
      </c>
      <c r="S96" s="17" t="str">
        <f>IF(COUNTIF($A$2:A96,A96)&gt;1,"Duplicate","Unique")</f>
        <v>Unique</v>
      </c>
      <c r="T96" s="17" t="str">
        <f t="shared" si="8"/>
        <v>No</v>
      </c>
      <c r="U96" s="17" t="str">
        <f t="shared" si="9"/>
        <v>No</v>
      </c>
      <c r="V96" s="17" t="str">
        <f t="shared" si="10"/>
        <v>Yes</v>
      </c>
      <c r="W96" s="17" t="str">
        <f t="shared" si="11"/>
        <v>Oct-2025</v>
      </c>
    </row>
    <row r="97" spans="1:23" x14ac:dyDescent="0.3">
      <c r="A97" s="17" t="str">
        <f>TRIM(Raw_Data!A97)</f>
        <v>REQ-2025-0096</v>
      </c>
      <c r="B97" s="22">
        <f>IF(Raw_Data!B97="","",IF(ISNUMBER(Raw_Data!B97),Raw_Data!B97,IF(ISNUMBER(SEARCH("/",Raw_Data!B97)),IFERROR(DATE(VALUE(RIGHT(Raw_Data!B97,4)),VALUE(MID(Raw_Data!B97,4,2)),VALUE(LEFT(Raw_Data!B97,2))),"Invalid Date"),IFERROR(DATEVALUE(Raw_Data!B97),"Invalid Date"))))</f>
        <v>45927</v>
      </c>
      <c r="C97" s="17" t="str">
        <f>IF(TRIM(Raw_Data!C97)="","",PROPER(TRIM(Raw_Data!C97)))</f>
        <v>Unit A - Infantry</v>
      </c>
      <c r="D97" s="17" t="str">
        <f>IF(TRIM(Raw_Data!D97)="","Not Specified",IFERROR(INDEX(Lookup_Tables!$H$6:$H$12,MATCH(TRIM(Raw_Data!D97),Lookup_Tables!$G$6:$G$12,0)),"Unknown - Review"))</f>
        <v>Northern</v>
      </c>
      <c r="E97" s="17" t="str">
        <f>IF(TRIM(Raw_Data!E97)="","Not Specified",IFERROR(INDEX(Lookup_Tables!$B$6:$B$18,MATCH(TRIM(Raw_Data!E97),Lookup_Tables!$A$6:$A$18,0)),"Unknown - Review"))</f>
        <v>Uniforms &amp; Clothing</v>
      </c>
      <c r="F97" s="17" t="str">
        <f>IF(TRIM(Raw_Data!F97)="","",TRIM(Raw_Data!F97))</f>
        <v>Combat Uniform Set</v>
      </c>
      <c r="G97" s="17">
        <f>IF(Raw_Data!G97="","",IF(VALUE(Raw_Data!G97)&lt;=0,"Invalid",VALUE(Raw_Data!G97)))</f>
        <v>365</v>
      </c>
      <c r="H97" s="17">
        <f>IF(Raw_Data!H97="","",IF(VALUE(Raw_Data!H97)&lt;=0,"Invalid",VALUE(Raw_Data!H97)))</f>
        <v>266</v>
      </c>
      <c r="I97" s="23">
        <f>IFERROR(VALUE(SUBSTITUTE(SUBSTITUTE(Raw_Data!I97,"₹",""),",","")),"")</f>
        <v>13684.17</v>
      </c>
      <c r="J97" s="17" t="str">
        <f>IF(TRIM(Raw_Data!J97)="","Not Specified",PROPER(TRIM(Raw_Data!J97)))</f>
        <v>High</v>
      </c>
      <c r="K97" s="17" t="str">
        <f>IF(TRIM(Raw_Data!K97)="","Not Specified",IFERROR(INDEX(Lookup_Tables!$E$6:$E$13,MATCH(TRIM(Raw_Data!K97),Lookup_Tables!$D$6:$D$13,0)),"Unknown - Review"))</f>
        <v>Delivered</v>
      </c>
      <c r="L97" s="17" t="str">
        <f>IF(TRIM(Raw_Data!L97)="","",PROPER(TRIM(Raw_Data!L97)))</f>
        <v>Stores Officer</v>
      </c>
      <c r="M97" s="22" t="str">
        <f>IF(Raw_Data!M97="","",IF(ISNUMBER(Raw_Data!M97),Raw_Data!M97,IF(ISNUMBER(SEARCH("/",Raw_Data!M97)),IFERROR(DATE(VALUE(RIGHT(Raw_Data!M97,4)),VALUE(MID(Raw_Data!M97,4,2)),VALUE(LEFT(Raw_Data!M97,2))),"Invalid Date"),IFERROR(DATEVALUE(Raw_Data!M97),"Invalid Date"))))</f>
        <v/>
      </c>
      <c r="N97" s="22">
        <f>IF(Raw_Data!N97="","",IF(ISNUMBER(Raw_Data!N97),Raw_Data!N97,IF(ISNUMBER(SEARCH("/",Raw_Data!N97)),IFERROR(DATE(VALUE(RIGHT(Raw_Data!N97,4)),VALUE(MID(Raw_Data!N97,4,2)),VALUE(LEFT(Raw_Data!N97,2))),"Invalid Date"),IFERROR(DATEVALUE(Raw_Data!N97),"Invalid Date"))))</f>
        <v>45940</v>
      </c>
      <c r="O97" s="22">
        <f>IF(Raw_Data!O97="","",IF(ISNUMBER(Raw_Data!O97),Raw_Data!O97,IF(ISNUMBER(SEARCH("/",Raw_Data!O97)),IFERROR(DATE(VALUE(RIGHT(Raw_Data!O97,4)),VALUE(MID(Raw_Data!O97,4,2)),VALUE(LEFT(Raw_Data!O97,2))),"Invalid Date"),IFERROR(DATEVALUE(Raw_Data!O97),"Invalid Date"))))</f>
        <v>45958</v>
      </c>
      <c r="P97" s="17" t="str">
        <f>IF(OR(TRIM(Raw_Data!P97)="",TRIM(Raw_Data!P97)="N/A",TRIM(Raw_Data!P97)="TBD",TRIM(Raw_Data!P97)="-"),"Not Assigned",PROPER(TRIM(Raw_Data!P97)))</f>
        <v>Rapid Vendors Ltd</v>
      </c>
      <c r="Q97" s="24">
        <f t="shared" si="6"/>
        <v>3639989.22</v>
      </c>
      <c r="R97" s="17">
        <f t="shared" si="7"/>
        <v>18</v>
      </c>
      <c r="S97" s="17" t="str">
        <f>IF(COUNTIF($A$2:A97,A97)&gt;1,"Duplicate","Unique")</f>
        <v>Unique</v>
      </c>
      <c r="T97" s="17" t="str">
        <f t="shared" si="8"/>
        <v>No</v>
      </c>
      <c r="U97" s="17" t="str">
        <f t="shared" si="9"/>
        <v>No</v>
      </c>
      <c r="V97" s="17" t="str">
        <f t="shared" si="10"/>
        <v>Yes</v>
      </c>
      <c r="W97" s="17" t="str">
        <f t="shared" si="11"/>
        <v>Sep-2025</v>
      </c>
    </row>
    <row r="98" spans="1:23" x14ac:dyDescent="0.3">
      <c r="A98" s="17" t="str">
        <f>TRIM(Raw_Data!A98)</f>
        <v>REQ-2025-0097</v>
      </c>
      <c r="B98" s="22">
        <f>IF(Raw_Data!B98="","",IF(ISNUMBER(Raw_Data!B98),Raw_Data!B98,IF(ISNUMBER(SEARCH("/",Raw_Data!B98)),IFERROR(DATE(VALUE(RIGHT(Raw_Data!B98,4)),VALUE(MID(Raw_Data!B98,4,2)),VALUE(LEFT(Raw_Data!B98,2))),"Invalid Date"),IFERROR(DATEVALUE(Raw_Data!B98),"Invalid Date"))))</f>
        <v>45771</v>
      </c>
      <c r="C98" s="17" t="str">
        <f>IF(TRIM(Raw_Data!C98)="","",PROPER(TRIM(Raw_Data!C98)))</f>
        <v>Unit A - Infantry</v>
      </c>
      <c r="D98" s="17" t="str">
        <f>IF(TRIM(Raw_Data!D98)="","Not Specified",IFERROR(INDEX(Lookup_Tables!$H$6:$H$12,MATCH(TRIM(Raw_Data!D98),Lookup_Tables!$G$6:$G$12,0)),"Unknown - Review"))</f>
        <v>Northern</v>
      </c>
      <c r="E98" s="17" t="str">
        <f>IF(TRIM(Raw_Data!E98)="","Not Specified",IFERROR(INDEX(Lookup_Tables!$B$6:$B$18,MATCH(TRIM(Raw_Data!E98),Lookup_Tables!$A$6:$A$18,0)),"Unknown - Review"))</f>
        <v>Fuel &amp; Lubricants</v>
      </c>
      <c r="F98" s="17" t="str">
        <f>IF(TRIM(Raw_Data!F98)="","",TRIM(Raw_Data!F98))</f>
        <v>Kerosene (Drum 200L)</v>
      </c>
      <c r="G98" s="17">
        <f>IF(Raw_Data!G98="","",IF(VALUE(Raw_Data!G98)&lt;=0,"Invalid",VALUE(Raw_Data!G98)))</f>
        <v>77</v>
      </c>
      <c r="H98" s="17">
        <f>IF(Raw_Data!H98="","",IF(VALUE(Raw_Data!H98)&lt;=0,"Invalid",VALUE(Raw_Data!H98)))</f>
        <v>61</v>
      </c>
      <c r="I98" s="23" t="str">
        <f>IFERROR(VALUE(SUBSTITUTE(SUBSTITUTE(Raw_Data!I98,"₹",""),",","")),"")</f>
        <v/>
      </c>
      <c r="J98" s="17" t="str">
        <f>IF(TRIM(Raw_Data!J98)="","Not Specified",PROPER(TRIM(Raw_Data!J98)))</f>
        <v>High</v>
      </c>
      <c r="K98" s="17" t="str">
        <f>IF(TRIM(Raw_Data!K98)="","Not Specified",IFERROR(INDEX(Lookup_Tables!$E$6:$E$13,MATCH(TRIM(Raw_Data!K98),Lookup_Tables!$D$6:$D$13,0)),"Unknown - Review"))</f>
        <v>Dispatched</v>
      </c>
      <c r="L98" s="17" t="str">
        <f>IF(TRIM(Raw_Data!L98)="","",PROPER(TRIM(Raw_Data!L98)))</f>
        <v>Unit Commander</v>
      </c>
      <c r="M98" s="22">
        <f>IF(Raw_Data!M98="","",IF(ISNUMBER(Raw_Data!M98),Raw_Data!M98,IF(ISNUMBER(SEARCH("/",Raw_Data!M98)),IFERROR(DATE(VALUE(RIGHT(Raw_Data!M98,4)),VALUE(MID(Raw_Data!M98,4,2)),VALUE(LEFT(Raw_Data!M98,2))),"Invalid Date"),IFERROR(DATEVALUE(Raw_Data!M98),"Invalid Date"))))</f>
        <v>45773</v>
      </c>
      <c r="N98" s="22" t="str">
        <f>IF(Raw_Data!N98="","",IF(ISNUMBER(Raw_Data!N98),Raw_Data!N98,IF(ISNUMBER(SEARCH("/",Raw_Data!N98)),IFERROR(DATE(VALUE(RIGHT(Raw_Data!N98,4)),VALUE(MID(Raw_Data!N98,4,2)),VALUE(LEFT(Raw_Data!N98,2))),"Invalid Date"),IFERROR(DATEVALUE(Raw_Data!N98),"Invalid Date"))))</f>
        <v/>
      </c>
      <c r="O98" s="22" t="str">
        <f>IF(Raw_Data!O98="","",IF(ISNUMBER(Raw_Data!O98),Raw_Data!O98,IF(ISNUMBER(SEARCH("/",Raw_Data!O98)),IFERROR(DATE(VALUE(RIGHT(Raw_Data!O98,4)),VALUE(MID(Raw_Data!O98,4,2)),VALUE(LEFT(Raw_Data!O98,2))),"Invalid Date"),IFERROR(DATEVALUE(Raw_Data!O98),"Invalid Date"))))</f>
        <v/>
      </c>
      <c r="P98" s="17" t="str">
        <f>IF(OR(TRIM(Raw_Data!P98)="",TRIM(Raw_Data!P98)="N/A",TRIM(Raw_Data!P98)="TBD",TRIM(Raw_Data!P98)="-"),"Not Assigned",PROPER(TRIM(Raw_Data!P98)))</f>
        <v>Om Suppliers</v>
      </c>
      <c r="Q98" s="24" t="str">
        <f t="shared" si="6"/>
        <v/>
      </c>
      <c r="R98" s="17" t="str">
        <f t="shared" si="7"/>
        <v/>
      </c>
      <c r="S98" s="17" t="str">
        <f>IF(COUNTIF($A$2:A98,A98)&gt;1,"Duplicate","Unique")</f>
        <v>Unique</v>
      </c>
      <c r="T98" s="17" t="str">
        <f t="shared" si="8"/>
        <v>No</v>
      </c>
      <c r="U98" s="17" t="str">
        <f t="shared" si="9"/>
        <v>No</v>
      </c>
      <c r="V98" s="17" t="str">
        <f t="shared" si="10"/>
        <v>Yes</v>
      </c>
      <c r="W98" s="17" t="str">
        <f t="shared" si="11"/>
        <v>Apr-2025</v>
      </c>
    </row>
    <row r="99" spans="1:23" x14ac:dyDescent="0.3">
      <c r="A99" s="17" t="str">
        <f>TRIM(Raw_Data!A99)</f>
        <v>REQ-2025-0098</v>
      </c>
      <c r="B99" s="22">
        <f>IF(Raw_Data!B99="","",IF(ISNUMBER(Raw_Data!B99),Raw_Data!B99,IF(ISNUMBER(SEARCH("/",Raw_Data!B99)),IFERROR(DATE(VALUE(RIGHT(Raw_Data!B99,4)),VALUE(MID(Raw_Data!B99,4,2)),VALUE(LEFT(Raw_Data!B99,2))),"Invalid Date"),IFERROR(DATEVALUE(Raw_Data!B99),"Invalid Date"))))</f>
        <v>45808</v>
      </c>
      <c r="C99" s="17" t="str">
        <f>IF(TRIM(Raw_Data!C99)="","",PROPER(TRIM(Raw_Data!C99)))</f>
        <v>Unit D - Signals</v>
      </c>
      <c r="D99" s="17" t="str">
        <f>IF(TRIM(Raw_Data!D99)="","Not Specified",IFERROR(INDEX(Lookup_Tables!$H$6:$H$12,MATCH(TRIM(Raw_Data!D99),Lookup_Tables!$G$6:$G$12,0)),"Unknown - Review"))</f>
        <v>Western</v>
      </c>
      <c r="E99" s="17" t="str">
        <f>IF(TRIM(Raw_Data!E99)="","Not Specified",IFERROR(INDEX(Lookup_Tables!$B$6:$B$18,MATCH(TRIM(Raw_Data!E99),Lookup_Tables!$A$6:$A$18,0)),"Unknown - Review"))</f>
        <v>Vehicle Spares</v>
      </c>
      <c r="F99" s="17" t="str">
        <f>IF(TRIM(Raw_Data!F99)="","",TRIM(Raw_Data!F99))</f>
        <v>Truck Tyre 900x20</v>
      </c>
      <c r="G99" s="17">
        <f>IF(Raw_Data!G99="","",IF(VALUE(Raw_Data!G99)&lt;=0,"Invalid",VALUE(Raw_Data!G99)))</f>
        <v>42</v>
      </c>
      <c r="H99" s="17" t="str">
        <f>IF(Raw_Data!H99="","",IF(VALUE(Raw_Data!H99)&lt;=0,"Invalid",VALUE(Raw_Data!H99)))</f>
        <v/>
      </c>
      <c r="I99" s="23" t="str">
        <f>IFERROR(VALUE(SUBSTITUTE(SUBSTITUTE(Raw_Data!I99,"₹",""),",","")),"")</f>
        <v/>
      </c>
      <c r="J99" s="17" t="str">
        <f>IF(TRIM(Raw_Data!J99)="","Not Specified",PROPER(TRIM(Raw_Data!J99)))</f>
        <v>Low</v>
      </c>
      <c r="K99" s="17" t="str">
        <f>IF(TRIM(Raw_Data!K99)="","Not Specified",IFERROR(INDEX(Lookup_Tables!$E$6:$E$13,MATCH(TRIM(Raw_Data!K99),Lookup_Tables!$D$6:$D$13,0)),"Unknown - Review"))</f>
        <v>Pending</v>
      </c>
      <c r="L99" s="17" t="str">
        <f>IF(TRIM(Raw_Data!L99)="","",PROPER(TRIM(Raw_Data!L99)))</f>
        <v>Quartermaster</v>
      </c>
      <c r="M99" s="22" t="str">
        <f>IF(Raw_Data!M99="","",IF(ISNUMBER(Raw_Data!M99),Raw_Data!M99,IF(ISNUMBER(SEARCH("/",Raw_Data!M99)),IFERROR(DATE(VALUE(RIGHT(Raw_Data!M99,4)),VALUE(MID(Raw_Data!M99,4,2)),VALUE(LEFT(Raw_Data!M99,2))),"Invalid Date"),IFERROR(DATEVALUE(Raw_Data!M99),"Invalid Date"))))</f>
        <v/>
      </c>
      <c r="N99" s="22" t="str">
        <f>IF(Raw_Data!N99="","",IF(ISNUMBER(Raw_Data!N99),Raw_Data!N99,IF(ISNUMBER(SEARCH("/",Raw_Data!N99)),IFERROR(DATE(VALUE(RIGHT(Raw_Data!N99,4)),VALUE(MID(Raw_Data!N99,4,2)),VALUE(LEFT(Raw_Data!N99,2))),"Invalid Date"),IFERROR(DATEVALUE(Raw_Data!N99),"Invalid Date"))))</f>
        <v/>
      </c>
      <c r="O99" s="22" t="str">
        <f>IF(Raw_Data!O99="","",IF(ISNUMBER(Raw_Data!O99),Raw_Data!O99,IF(ISNUMBER(SEARCH("/",Raw_Data!O99)),IFERROR(DATE(VALUE(RIGHT(Raw_Data!O99,4)),VALUE(MID(Raw_Data!O99,4,2)),VALUE(LEFT(Raw_Data!O99,2))),"Invalid Date"),IFERROR(DATEVALUE(Raw_Data!O99),"Invalid Date"))))</f>
        <v/>
      </c>
      <c r="P99" s="17" t="str">
        <f>IF(OR(TRIM(Raw_Data!P99)="",TRIM(Raw_Data!P99)="N/A",TRIM(Raw_Data!P99)="TBD",TRIM(Raw_Data!P99)="-"),"Not Assigned",PROPER(TRIM(Raw_Data!P99)))</f>
        <v>Sena Supply Co</v>
      </c>
      <c r="Q99" s="24" t="str">
        <f t="shared" si="6"/>
        <v/>
      </c>
      <c r="R99" s="17" t="str">
        <f t="shared" si="7"/>
        <v/>
      </c>
      <c r="S99" s="17" t="str">
        <f>IF(COUNTIF($A$2:A99,A99)&gt;1,"Duplicate","Unique")</f>
        <v>Unique</v>
      </c>
      <c r="T99" s="17" t="str">
        <f t="shared" si="8"/>
        <v>No</v>
      </c>
      <c r="U99" s="17" t="str">
        <f t="shared" si="9"/>
        <v>No</v>
      </c>
      <c r="V99" s="17" t="str">
        <f t="shared" si="10"/>
        <v>Yes</v>
      </c>
      <c r="W99" s="17" t="str">
        <f t="shared" si="11"/>
        <v>May-2025</v>
      </c>
    </row>
    <row r="100" spans="1:23" x14ac:dyDescent="0.3">
      <c r="A100" s="17" t="str">
        <f>TRIM(Raw_Data!A100)</f>
        <v>REQ-2025-0099</v>
      </c>
      <c r="B100" s="22">
        <f>IF(Raw_Data!B100="","",IF(ISNUMBER(Raw_Data!B100),Raw_Data!B100,IF(ISNUMBER(SEARCH("/",Raw_Data!B100)),IFERROR(DATE(VALUE(RIGHT(Raw_Data!B100,4)),VALUE(MID(Raw_Data!B100,4,2)),VALUE(LEFT(Raw_Data!B100,2))),"Invalid Date"),IFERROR(DATEVALUE(Raw_Data!B100),"Invalid Date"))))</f>
        <v>45707</v>
      </c>
      <c r="C100" s="17" t="str">
        <f>IF(TRIM(Raw_Data!C100)="","",PROPER(TRIM(Raw_Data!C100)))</f>
        <v>Unit E - Medical Corps</v>
      </c>
      <c r="D100" s="17" t="str">
        <f>IF(TRIM(Raw_Data!D100)="","Not Specified",IFERROR(INDEX(Lookup_Tables!$H$6:$H$12,MATCH(TRIM(Raw_Data!D100),Lookup_Tables!$G$6:$G$12,0)),"Unknown - Review"))</f>
        <v>Central</v>
      </c>
      <c r="E100" s="17" t="str">
        <f>IF(TRIM(Raw_Data!E100)="","Not Specified",IFERROR(INDEX(Lookup_Tables!$B$6:$B$18,MATCH(TRIM(Raw_Data!E100),Lookup_Tables!$A$6:$A$18,0)),"Unknown - Review"))</f>
        <v>Communication Equipment</v>
      </c>
      <c r="F100" s="17" t="str">
        <f>IF(TRIM(Raw_Data!F100)="","",TRIM(Raw_Data!F100))</f>
        <v>Signal Cable (100m)</v>
      </c>
      <c r="G100" s="17">
        <f>IF(Raw_Data!G100="","",IF(VALUE(Raw_Data!G100)&lt;=0,"Invalid",VALUE(Raw_Data!G100)))</f>
        <v>32</v>
      </c>
      <c r="H100" s="17" t="str">
        <f>IF(Raw_Data!H100="","",IF(VALUE(Raw_Data!H100)&lt;=0,"Invalid",VALUE(Raw_Data!H100)))</f>
        <v/>
      </c>
      <c r="I100" s="23">
        <f>IFERROR(VALUE(SUBSTITUTE(SUBSTITUTE(Raw_Data!I100,"₹",""),",","")),"")</f>
        <v>19328</v>
      </c>
      <c r="J100" s="17" t="str">
        <f>IF(TRIM(Raw_Data!J100)="","Not Specified",PROPER(TRIM(Raw_Data!J100)))</f>
        <v>Routine</v>
      </c>
      <c r="K100" s="17" t="str">
        <f>IF(TRIM(Raw_Data!K100)="","Not Specified",IFERROR(INDEX(Lookup_Tables!$E$6:$E$13,MATCH(TRIM(Raw_Data!K100),Lookup_Tables!$D$6:$D$13,0)),"Unknown - Review"))</f>
        <v>Pending</v>
      </c>
      <c r="L100" s="17" t="str">
        <f>IF(TRIM(Raw_Data!L100)="","",PROPER(TRIM(Raw_Data!L100)))</f>
        <v>Logistics Officer</v>
      </c>
      <c r="M100" s="22" t="str">
        <f>IF(Raw_Data!M100="","",IF(ISNUMBER(Raw_Data!M100),Raw_Data!M100,IF(ISNUMBER(SEARCH("/",Raw_Data!M100)),IFERROR(DATE(VALUE(RIGHT(Raw_Data!M100,4)),VALUE(MID(Raw_Data!M100,4,2)),VALUE(LEFT(Raw_Data!M100,2))),"Invalid Date"),IFERROR(DATEVALUE(Raw_Data!M100),"Invalid Date"))))</f>
        <v/>
      </c>
      <c r="N100" s="22" t="str">
        <f>IF(Raw_Data!N100="","",IF(ISNUMBER(Raw_Data!N100),Raw_Data!N100,IF(ISNUMBER(SEARCH("/",Raw_Data!N100)),IFERROR(DATE(VALUE(RIGHT(Raw_Data!N100,4)),VALUE(MID(Raw_Data!N100,4,2)),VALUE(LEFT(Raw_Data!N100,2))),"Invalid Date"),IFERROR(DATEVALUE(Raw_Data!N100),"Invalid Date"))))</f>
        <v/>
      </c>
      <c r="O100" s="22" t="str">
        <f>IF(Raw_Data!O100="","",IF(ISNUMBER(Raw_Data!O100),Raw_Data!O100,IF(ISNUMBER(SEARCH("/",Raw_Data!O100)),IFERROR(DATE(VALUE(RIGHT(Raw_Data!O100,4)),VALUE(MID(Raw_Data!O100,4,2)),VALUE(LEFT(Raw_Data!O100,2))),"Invalid Date"),IFERROR(DATEVALUE(Raw_Data!O100),"Invalid Date"))))</f>
        <v/>
      </c>
      <c r="P100" s="17" t="str">
        <f>IF(OR(TRIM(Raw_Data!P100)="",TRIM(Raw_Data!P100)="N/A",TRIM(Raw_Data!P100)="TBD",TRIM(Raw_Data!P100)="-"),"Not Assigned",PROPER(TRIM(Raw_Data!P100)))</f>
        <v>Central Ordnance Suppliers</v>
      </c>
      <c r="Q100" s="24" t="str">
        <f t="shared" si="6"/>
        <v/>
      </c>
      <c r="R100" s="17" t="str">
        <f t="shared" si="7"/>
        <v/>
      </c>
      <c r="S100" s="17" t="str">
        <f>IF(COUNTIF($A$2:A100,A100)&gt;1,"Duplicate","Unique")</f>
        <v>Unique</v>
      </c>
      <c r="T100" s="17" t="str">
        <f t="shared" si="8"/>
        <v>No</v>
      </c>
      <c r="U100" s="17" t="str">
        <f t="shared" si="9"/>
        <v>No</v>
      </c>
      <c r="V100" s="17" t="str">
        <f t="shared" si="10"/>
        <v>Yes</v>
      </c>
      <c r="W100" s="17" t="str">
        <f t="shared" si="11"/>
        <v>Feb-2025</v>
      </c>
    </row>
    <row r="101" spans="1:23" x14ac:dyDescent="0.3">
      <c r="A101" s="17" t="str">
        <f>TRIM(Raw_Data!A101)</f>
        <v>REQ-2025-0100</v>
      </c>
      <c r="B101" s="22">
        <f>IF(Raw_Data!B101="","",IF(ISNUMBER(Raw_Data!B101),Raw_Data!B101,IF(ISNUMBER(SEARCH("/",Raw_Data!B101)),IFERROR(DATE(VALUE(RIGHT(Raw_Data!B101,4)),VALUE(MID(Raw_Data!B101,4,2)),VALUE(LEFT(Raw_Data!B101,2))),"Invalid Date"),IFERROR(DATEVALUE(Raw_Data!B101),"Invalid Date"))))</f>
        <v>45792</v>
      </c>
      <c r="C101" s="17" t="str">
        <f>IF(TRIM(Raw_Data!C101)="","",PROPER(TRIM(Raw_Data!C101)))</f>
        <v>Unit H - Air Defence</v>
      </c>
      <c r="D101" s="17" t="str">
        <f>IF(TRIM(Raw_Data!D101)="","Not Specified",IFERROR(INDEX(Lookup_Tables!$H$6:$H$12,MATCH(TRIM(Raw_Data!D101),Lookup_Tables!$G$6:$G$12,0)),"Unknown - Review"))</f>
        <v>Eastern</v>
      </c>
      <c r="E101" s="17" t="str">
        <f>IF(TRIM(Raw_Data!E101)="","Not Specified",IFERROR(INDEX(Lookup_Tables!$B$6:$B$18,MATCH(TRIM(Raw_Data!E101),Lookup_Tables!$A$6:$A$18,0)),"Unknown - Review"))</f>
        <v>Office &amp; IT Equipment</v>
      </c>
      <c r="F101" s="17" t="str">
        <f>IF(TRIM(Raw_Data!F101)="","",TRIM(Raw_Data!F101))</f>
        <v>Filing Cabinet</v>
      </c>
      <c r="G101" s="17">
        <f>IF(Raw_Data!G101="","",IF(VALUE(Raw_Data!G101)&lt;=0,"Invalid",VALUE(Raw_Data!G101)))</f>
        <v>82</v>
      </c>
      <c r="H101" s="17">
        <f>IF(Raw_Data!H101="","",IF(VALUE(Raw_Data!H101)&lt;=0,"Invalid",VALUE(Raw_Data!H101)))</f>
        <v>59</v>
      </c>
      <c r="I101" s="23">
        <f>IFERROR(VALUE(SUBSTITUTE(SUBSTITUTE(Raw_Data!I101,"₹",""),",","")),"")</f>
        <v>15569.04</v>
      </c>
      <c r="J101" s="17" t="str">
        <f>IF(TRIM(Raw_Data!J101)="","Not Specified",PROPER(TRIM(Raw_Data!J101)))</f>
        <v>Low</v>
      </c>
      <c r="K101" s="17" t="str">
        <f>IF(TRIM(Raw_Data!K101)="","Not Specified",IFERROR(INDEX(Lookup_Tables!$E$6:$E$13,MATCH(TRIM(Raw_Data!K101),Lookup_Tables!$D$6:$D$13,0)),"Unknown - Review"))</f>
        <v>Approved</v>
      </c>
      <c r="L101" s="17" t="str">
        <f>IF(TRIM(Raw_Data!L101)="","",PROPER(TRIM(Raw_Data!L101)))</f>
        <v>Quartermaster</v>
      </c>
      <c r="M101" s="22">
        <f>IF(Raw_Data!M101="","",IF(ISNUMBER(Raw_Data!M101),Raw_Data!M101,IF(ISNUMBER(SEARCH("/",Raw_Data!M101)),IFERROR(DATE(VALUE(RIGHT(Raw_Data!M101,4)),VALUE(MID(Raw_Data!M101,4,2)),VALUE(LEFT(Raw_Data!M101,2))),"Invalid Date"),IFERROR(DATEVALUE(Raw_Data!M101),"Invalid Date"))))</f>
        <v>45801</v>
      </c>
      <c r="N101" s="22">
        <f>IF(Raw_Data!N101="","",IF(ISNUMBER(Raw_Data!N101),Raw_Data!N101,IF(ISNUMBER(SEARCH("/",Raw_Data!N101)),IFERROR(DATE(VALUE(RIGHT(Raw_Data!N101,4)),VALUE(MID(Raw_Data!N101,4,2)),VALUE(LEFT(Raw_Data!N101,2))),"Invalid Date"),IFERROR(DATEVALUE(Raw_Data!N101),"Invalid Date"))))</f>
        <v>45819</v>
      </c>
      <c r="O101" s="22" t="str">
        <f>IF(Raw_Data!O101="","",IF(ISNUMBER(Raw_Data!O101),Raw_Data!O101,IF(ISNUMBER(SEARCH("/",Raw_Data!O101)),IFERROR(DATE(VALUE(RIGHT(Raw_Data!O101,4)),VALUE(MID(Raw_Data!O101,4,2)),VALUE(LEFT(Raw_Data!O101,2))),"Invalid Date"),IFERROR(DATEVALUE(Raw_Data!O101),"Invalid Date"))))</f>
        <v/>
      </c>
      <c r="P101" s="17" t="str">
        <f>IF(OR(TRIM(Raw_Data!P101)="",TRIM(Raw_Data!P101)="N/A",TRIM(Raw_Data!P101)="TBD",TRIM(Raw_Data!P101)="-"),"Not Assigned",PROPER(TRIM(Raw_Data!P101)))</f>
        <v>Vikram Enterprises</v>
      </c>
      <c r="Q101" s="24">
        <f t="shared" si="6"/>
        <v>918573.3600000001</v>
      </c>
      <c r="R101" s="17" t="str">
        <f t="shared" si="7"/>
        <v/>
      </c>
      <c r="S101" s="17" t="str">
        <f>IF(COUNTIF($A$2:A101,A101)&gt;1,"Duplicate","Unique")</f>
        <v>Unique</v>
      </c>
      <c r="T101" s="17" t="str">
        <f t="shared" si="8"/>
        <v>No</v>
      </c>
      <c r="U101" s="17" t="str">
        <f t="shared" si="9"/>
        <v>No</v>
      </c>
      <c r="V101" s="17" t="str">
        <f t="shared" si="10"/>
        <v>Yes</v>
      </c>
      <c r="W101" s="17" t="str">
        <f t="shared" si="11"/>
        <v>May-2025</v>
      </c>
    </row>
    <row r="102" spans="1:23" x14ac:dyDescent="0.3">
      <c r="A102" s="17" t="str">
        <f>TRIM(Raw_Data!A102)</f>
        <v>REQ-2025-0101</v>
      </c>
      <c r="B102" s="22">
        <f>IF(Raw_Data!B102="","",IF(ISNUMBER(Raw_Data!B102),Raw_Data!B102,IF(ISNUMBER(SEARCH("/",Raw_Data!B102)),IFERROR(DATE(VALUE(RIGHT(Raw_Data!B102,4)),VALUE(MID(Raw_Data!B102,4,2)),VALUE(LEFT(Raw_Data!B102,2))),"Invalid Date"),IFERROR(DATEVALUE(Raw_Data!B102),"Invalid Date"))))</f>
        <v>45766</v>
      </c>
      <c r="C102" s="17" t="str">
        <f>IF(TRIM(Raw_Data!C102)="","",PROPER(TRIM(Raw_Data!C102)))</f>
        <v>Unit B - Artillery</v>
      </c>
      <c r="D102" s="17" t="str">
        <f>IF(TRIM(Raw_Data!D102)="","Not Specified",IFERROR(INDEX(Lookup_Tables!$H$6:$H$12,MATCH(TRIM(Raw_Data!D102),Lookup_Tables!$G$6:$G$12,0)),"Unknown - Review"))</f>
        <v>Western</v>
      </c>
      <c r="E102" s="17" t="str">
        <f>IF(TRIM(Raw_Data!E102)="","Not Specified",IFERROR(INDEX(Lookup_Tables!$B$6:$B$18,MATCH(TRIM(Raw_Data!E102),Lookup_Tables!$A$6:$A$18,0)),"Unknown - Review"))</f>
        <v>Uniforms &amp; Clothing</v>
      </c>
      <c r="F102" s="17" t="str">
        <f>IF(TRIM(Raw_Data!F102)="","",TRIM(Raw_Data!F102))</f>
        <v>Winter Jacket</v>
      </c>
      <c r="G102" s="17" t="str">
        <f>IF(Raw_Data!G102="","",IF(VALUE(Raw_Data!G102)&lt;=0,"Invalid",VALUE(Raw_Data!G102)))</f>
        <v/>
      </c>
      <c r="H102" s="17">
        <f>IF(Raw_Data!H102="","",IF(VALUE(Raw_Data!H102)&lt;=0,"Invalid",VALUE(Raw_Data!H102)))</f>
        <v>168</v>
      </c>
      <c r="I102" s="23">
        <f>IFERROR(VALUE(SUBSTITUTE(SUBSTITUTE(Raw_Data!I102,"₹",""),",","")),"")</f>
        <v>37042</v>
      </c>
      <c r="J102" s="17" t="str">
        <f>IF(TRIM(Raw_Data!J102)="","Not Specified",PROPER(TRIM(Raw_Data!J102)))</f>
        <v>Medium</v>
      </c>
      <c r="K102" s="17" t="str">
        <f>IF(TRIM(Raw_Data!K102)="","Not Specified",IFERROR(INDEX(Lookup_Tables!$E$6:$E$13,MATCH(TRIM(Raw_Data!K102),Lookup_Tables!$D$6:$D$13,0)),"Unknown - Review"))</f>
        <v>Delivered</v>
      </c>
      <c r="L102" s="17" t="str">
        <f>IF(TRIM(Raw_Data!L102)="","",PROPER(TRIM(Raw_Data!L102)))</f>
        <v>Quartermaster</v>
      </c>
      <c r="M102" s="22">
        <f>IF(Raw_Data!M102="","",IF(ISNUMBER(Raw_Data!M102),Raw_Data!M102,IF(ISNUMBER(SEARCH("/",Raw_Data!M102)),IFERROR(DATE(VALUE(RIGHT(Raw_Data!M102,4)),VALUE(MID(Raw_Data!M102,4,2)),VALUE(LEFT(Raw_Data!M102,2))),"Invalid Date"),IFERROR(DATEVALUE(Raw_Data!M102),"Invalid Date"))))</f>
        <v>45769</v>
      </c>
      <c r="N102" s="22" t="str">
        <f>IF(Raw_Data!N102="","",IF(ISNUMBER(Raw_Data!N102),Raw_Data!N102,IF(ISNUMBER(SEARCH("/",Raw_Data!N102)),IFERROR(DATE(VALUE(RIGHT(Raw_Data!N102,4)),VALUE(MID(Raw_Data!N102,4,2)),VALUE(LEFT(Raw_Data!N102,2))),"Invalid Date"),IFERROR(DATEVALUE(Raw_Data!N102),"Invalid Date"))))</f>
        <v/>
      </c>
      <c r="O102" s="22">
        <f>IF(Raw_Data!O102="","",IF(ISNUMBER(Raw_Data!O102),Raw_Data!O102,IF(ISNUMBER(SEARCH("/",Raw_Data!O102)),IFERROR(DATE(VALUE(RIGHT(Raw_Data!O102,4)),VALUE(MID(Raw_Data!O102,4,2)),VALUE(LEFT(Raw_Data!O102,2))),"Invalid Date"),IFERROR(DATEVALUE(Raw_Data!O102),"Invalid Date"))))</f>
        <v>45796</v>
      </c>
      <c r="P102" s="17" t="str">
        <f>IF(OR(TRIM(Raw_Data!P102)="",TRIM(Raw_Data!P102)="N/A",TRIM(Raw_Data!P102)="TBD",TRIM(Raw_Data!P102)="-"),"Not Assigned",PROPER(TRIM(Raw_Data!P102)))</f>
        <v>Om Suppliers</v>
      </c>
      <c r="Q102" s="24">
        <f t="shared" si="6"/>
        <v>6223056</v>
      </c>
      <c r="R102" s="17" t="str">
        <f t="shared" si="7"/>
        <v/>
      </c>
      <c r="S102" s="17" t="str">
        <f>IF(COUNTIF($A$2:A102,A102)&gt;1,"Duplicate","Unique")</f>
        <v>Unique</v>
      </c>
      <c r="T102" s="17" t="str">
        <f t="shared" si="8"/>
        <v>Yes</v>
      </c>
      <c r="U102" s="17" t="str">
        <f t="shared" si="9"/>
        <v>No</v>
      </c>
      <c r="V102" s="17" t="str">
        <f t="shared" si="10"/>
        <v>No</v>
      </c>
      <c r="W102" s="17" t="str">
        <f t="shared" si="11"/>
        <v>Apr-2025</v>
      </c>
    </row>
    <row r="103" spans="1:23" x14ac:dyDescent="0.3">
      <c r="A103" s="17" t="str">
        <f>TRIM(Raw_Data!A103)</f>
        <v>REQ-2025-0102</v>
      </c>
      <c r="B103" s="22" t="str">
        <f>IF(Raw_Data!B103="","",IF(ISNUMBER(Raw_Data!B103),Raw_Data!B103,IF(ISNUMBER(SEARCH("/",Raw_Data!B103)),IFERROR(DATE(VALUE(RIGHT(Raw_Data!B103,4)),VALUE(MID(Raw_Data!B103,4,2)),VALUE(LEFT(Raw_Data!B103,2))),"Invalid Date"),IFERROR(DATEVALUE(Raw_Data!B103),"Invalid Date"))))</f>
        <v/>
      </c>
      <c r="C103" s="17" t="str">
        <f>IF(TRIM(Raw_Data!C103)="","",PROPER(TRIM(Raw_Data!C103)))</f>
        <v>Unit B - Artillery</v>
      </c>
      <c r="D103" s="17" t="str">
        <f>IF(TRIM(Raw_Data!D103)="","Not Specified",IFERROR(INDEX(Lookup_Tables!$H$6:$H$12,MATCH(TRIM(Raw_Data!D103),Lookup_Tables!$G$6:$G$12,0)),"Unknown - Review"))</f>
        <v>Southern</v>
      </c>
      <c r="E103" s="17" t="str">
        <f>IF(TRIM(Raw_Data!E103)="","Not Specified",IFERROR(INDEX(Lookup_Tables!$B$6:$B$18,MATCH(TRIM(Raw_Data!E103),Lookup_Tables!$A$6:$A$18,0)),"Unknown - Review"))</f>
        <v>Vehicle Spares</v>
      </c>
      <c r="F103" s="17" t="str">
        <f>IF(TRIM(Raw_Data!F103)="","",TRIM(Raw_Data!F103))</f>
        <v>Engine Oil Filter</v>
      </c>
      <c r="G103" s="17">
        <f>IF(Raw_Data!G103="","",IF(VALUE(Raw_Data!G103)&lt;=0,"Invalid",VALUE(Raw_Data!G103)))</f>
        <v>201</v>
      </c>
      <c r="H103" s="17">
        <f>IF(Raw_Data!H103="","",IF(VALUE(Raw_Data!H103)&lt;=0,"Invalid",VALUE(Raw_Data!H103)))</f>
        <v>169</v>
      </c>
      <c r="I103" s="23">
        <f>IFERROR(VALUE(SUBSTITUTE(SUBSTITUTE(Raw_Data!I103,"₹",""),",","")),"")</f>
        <v>7873.16</v>
      </c>
      <c r="J103" s="17" t="str">
        <f>IF(TRIM(Raw_Data!J103)="","Not Specified",PROPER(TRIM(Raw_Data!J103)))</f>
        <v>Not Specified</v>
      </c>
      <c r="K103" s="17" t="str">
        <f>IF(TRIM(Raw_Data!K103)="","Not Specified",IFERROR(INDEX(Lookup_Tables!$E$6:$E$13,MATCH(TRIM(Raw_Data!K103),Lookup_Tables!$D$6:$D$13,0)),"Unknown - Review"))</f>
        <v>Delivered</v>
      </c>
      <c r="L103" s="17" t="str">
        <f>IF(TRIM(Raw_Data!L103)="","",PROPER(TRIM(Raw_Data!L103)))</f>
        <v>Stores Officer</v>
      </c>
      <c r="M103" s="22">
        <f>IF(Raw_Data!M103="","",IF(ISNUMBER(Raw_Data!M103),Raw_Data!M103,IF(ISNUMBER(SEARCH("/",Raw_Data!M103)),IFERROR(DATE(VALUE(RIGHT(Raw_Data!M103,4)),VALUE(MID(Raw_Data!M103,4,2)),VALUE(LEFT(Raw_Data!M103,2))),"Invalid Date"),IFERROR(DATEVALUE(Raw_Data!M103),"Invalid Date"))))</f>
        <v>45939</v>
      </c>
      <c r="N103" s="22" t="str">
        <f>IF(Raw_Data!N103="","",IF(ISNUMBER(Raw_Data!N103),Raw_Data!N103,IF(ISNUMBER(SEARCH("/",Raw_Data!N103)),IFERROR(DATE(VALUE(RIGHT(Raw_Data!N103,4)),VALUE(MID(Raw_Data!N103,4,2)),VALUE(LEFT(Raw_Data!N103,2))),"Invalid Date"),IFERROR(DATEVALUE(Raw_Data!N103),"Invalid Date"))))</f>
        <v/>
      </c>
      <c r="O103" s="22">
        <f>IF(Raw_Data!O103="","",IF(ISNUMBER(Raw_Data!O103),Raw_Data!O103,IF(ISNUMBER(SEARCH("/",Raw_Data!O103)),IFERROR(DATE(VALUE(RIGHT(Raw_Data!O103,4)),VALUE(MID(Raw_Data!O103,4,2)),VALUE(LEFT(Raw_Data!O103,2))),"Invalid Date"),IFERROR(DATEVALUE(Raw_Data!O103),"Invalid Date"))))</f>
        <v>45962</v>
      </c>
      <c r="P103" s="17" t="str">
        <f>IF(OR(TRIM(Raw_Data!P103)="",TRIM(Raw_Data!P103)="N/A",TRIM(Raw_Data!P103)="TBD",TRIM(Raw_Data!P103)="-"),"Not Assigned",PROPER(TRIM(Raw_Data!P103)))</f>
        <v>Rapid Vendors Ltd</v>
      </c>
      <c r="Q103" s="24">
        <f t="shared" si="6"/>
        <v>1330564.04</v>
      </c>
      <c r="R103" s="17" t="str">
        <f t="shared" si="7"/>
        <v/>
      </c>
      <c r="S103" s="17" t="str">
        <f>IF(COUNTIF($A$2:A103,A103)&gt;1,"Duplicate","Unique")</f>
        <v>Unique</v>
      </c>
      <c r="T103" s="17" t="str">
        <f t="shared" si="8"/>
        <v>No</v>
      </c>
      <c r="U103" s="17" t="str">
        <f t="shared" si="9"/>
        <v>No</v>
      </c>
      <c r="V103" s="17" t="str">
        <f t="shared" si="10"/>
        <v>Yes</v>
      </c>
      <c r="W103" s="17" t="str">
        <f t="shared" si="11"/>
        <v/>
      </c>
    </row>
    <row r="104" spans="1:23" x14ac:dyDescent="0.3">
      <c r="A104" s="17" t="str">
        <f>TRIM(Raw_Data!A104)</f>
        <v>REQ-2025-0103</v>
      </c>
      <c r="B104" s="22" t="str">
        <f>IF(Raw_Data!B104="","",IF(ISNUMBER(Raw_Data!B104),Raw_Data!B104,IF(ISNUMBER(SEARCH("/",Raw_Data!B104)),IFERROR(DATE(VALUE(RIGHT(Raw_Data!B104,4)),VALUE(MID(Raw_Data!B104,4,2)),VALUE(LEFT(Raw_Data!B104,2))),"Invalid Date"),IFERROR(DATEVALUE(Raw_Data!B104),"Invalid Date"))))</f>
        <v/>
      </c>
      <c r="C104" s="17" t="str">
        <f>IF(TRIM(Raw_Data!C104)="","",PROPER(TRIM(Raw_Data!C104)))</f>
        <v>Unit H - Air Defence</v>
      </c>
      <c r="D104" s="17" t="str">
        <f>IF(TRIM(Raw_Data!D104)="","Not Specified",IFERROR(INDEX(Lookup_Tables!$H$6:$H$12,MATCH(TRIM(Raw_Data!D104),Lookup_Tables!$G$6:$G$12,0)),"Unknown - Review"))</f>
        <v>Eastern</v>
      </c>
      <c r="E104" s="17" t="str">
        <f>IF(TRIM(Raw_Data!E104)="","Not Specified",IFERROR(INDEX(Lookup_Tables!$B$6:$B$18,MATCH(TRIM(Raw_Data!E104),Lookup_Tables!$A$6:$A$18,0)),"Unknown - Review"))</f>
        <v>Fuel &amp; Lubricants</v>
      </c>
      <c r="F104" s="17" t="str">
        <f>IF(TRIM(Raw_Data!F104)="","",TRIM(Raw_Data!F104))</f>
        <v>Engine Grease (5kg)</v>
      </c>
      <c r="G104" s="17">
        <f>IF(Raw_Data!G104="","",IF(VALUE(Raw_Data!G104)&lt;=0,"Invalid",VALUE(Raw_Data!G104)))</f>
        <v>231</v>
      </c>
      <c r="H104" s="17">
        <f>IF(Raw_Data!H104="","",IF(VALUE(Raw_Data!H104)&lt;=0,"Invalid",VALUE(Raw_Data!H104)))</f>
        <v>213</v>
      </c>
      <c r="I104" s="23">
        <f>IFERROR(VALUE(SUBSTITUTE(SUBSTITUTE(Raw_Data!I104,"₹",""),",","")),"")</f>
        <v>34213</v>
      </c>
      <c r="J104" s="17" t="str">
        <f>IF(TRIM(Raw_Data!J104)="","Not Specified",PROPER(TRIM(Raw_Data!J104)))</f>
        <v>High</v>
      </c>
      <c r="K104" s="17" t="str">
        <f>IF(TRIM(Raw_Data!K104)="","Not Specified",IFERROR(INDEX(Lookup_Tables!$E$6:$E$13,MATCH(TRIM(Raw_Data!K104),Lookup_Tables!$D$6:$D$13,0)),"Unknown - Review"))</f>
        <v>Dispatched</v>
      </c>
      <c r="L104" s="17" t="str">
        <f>IF(TRIM(Raw_Data!L104)="","",PROPER(TRIM(Raw_Data!L104)))</f>
        <v>Logistics Officer</v>
      </c>
      <c r="M104" s="22">
        <f>IF(Raw_Data!M104="","",IF(ISNUMBER(Raw_Data!M104),Raw_Data!M104,IF(ISNUMBER(SEARCH("/",Raw_Data!M104)),IFERROR(DATE(VALUE(RIGHT(Raw_Data!M104,4)),VALUE(MID(Raw_Data!M104,4,2)),VALUE(LEFT(Raw_Data!M104,2))),"Invalid Date"),IFERROR(DATEVALUE(Raw_Data!M104),"Invalid Date"))))</f>
        <v>45877</v>
      </c>
      <c r="N104" s="22">
        <f>IF(Raw_Data!N104="","",IF(ISNUMBER(Raw_Data!N104),Raw_Data!N104,IF(ISNUMBER(SEARCH("/",Raw_Data!N104)),IFERROR(DATE(VALUE(RIGHT(Raw_Data!N104,4)),VALUE(MID(Raw_Data!N104,4,2)),VALUE(LEFT(Raw_Data!N104,2))),"Invalid Date"),IFERROR(DATEVALUE(Raw_Data!N104),"Invalid Date"))))</f>
        <v>45883</v>
      </c>
      <c r="O104" s="22" t="str">
        <f>IF(Raw_Data!O104="","",IF(ISNUMBER(Raw_Data!O104),Raw_Data!O104,IF(ISNUMBER(SEARCH("/",Raw_Data!O104)),IFERROR(DATE(VALUE(RIGHT(Raw_Data!O104,4)),VALUE(MID(Raw_Data!O104,4,2)),VALUE(LEFT(Raw_Data!O104,2))),"Invalid Date"),IFERROR(DATEVALUE(Raw_Data!O104),"Invalid Date"))))</f>
        <v/>
      </c>
      <c r="P104" s="17" t="str">
        <f>IF(OR(TRIM(Raw_Data!P104)="",TRIM(Raw_Data!P104)="N/A",TRIM(Raw_Data!P104)="TBD",TRIM(Raw_Data!P104)="-"),"Not Assigned",PROPER(TRIM(Raw_Data!P104)))</f>
        <v>National Defence Stores</v>
      </c>
      <c r="Q104" s="24">
        <f t="shared" si="6"/>
        <v>7287369</v>
      </c>
      <c r="R104" s="17" t="str">
        <f t="shared" si="7"/>
        <v/>
      </c>
      <c r="S104" s="17" t="str">
        <f>IF(COUNTIF($A$2:A104,A104)&gt;1,"Duplicate","Unique")</f>
        <v>Unique</v>
      </c>
      <c r="T104" s="17" t="str">
        <f t="shared" si="8"/>
        <v>No</v>
      </c>
      <c r="U104" s="17" t="str">
        <f t="shared" si="9"/>
        <v>No</v>
      </c>
      <c r="V104" s="17" t="str">
        <f t="shared" si="10"/>
        <v>Yes</v>
      </c>
      <c r="W104" s="17" t="str">
        <f t="shared" si="11"/>
        <v/>
      </c>
    </row>
    <row r="105" spans="1:23" x14ac:dyDescent="0.3">
      <c r="A105" s="17" t="str">
        <f>TRIM(Raw_Data!A105)</f>
        <v>REQ-2025-0104</v>
      </c>
      <c r="B105" s="22">
        <f>IF(Raw_Data!B105="","",IF(ISNUMBER(Raw_Data!B105),Raw_Data!B105,IF(ISNUMBER(SEARCH("/",Raw_Data!B105)),IFERROR(DATE(VALUE(RIGHT(Raw_Data!B105,4)),VALUE(MID(Raw_Data!B105,4,2)),VALUE(LEFT(Raw_Data!B105,2))),"Invalid Date"),IFERROR(DATEVALUE(Raw_Data!B105),"Invalid Date"))))</f>
        <v>45908</v>
      </c>
      <c r="C105" s="17" t="str">
        <f>IF(TRIM(Raw_Data!C105)="","",PROPER(TRIM(Raw_Data!C105)))</f>
        <v>Unit B - Artillery</v>
      </c>
      <c r="D105" s="17" t="str">
        <f>IF(TRIM(Raw_Data!D105)="","Not Specified",IFERROR(INDEX(Lookup_Tables!$H$6:$H$12,MATCH(TRIM(Raw_Data!D105),Lookup_Tables!$G$6:$G$12,0)),"Unknown - Review"))</f>
        <v>Southern</v>
      </c>
      <c r="E105" s="17" t="str">
        <f>IF(TRIM(Raw_Data!E105)="","Not Specified",IFERROR(INDEX(Lookup_Tables!$B$6:$B$18,MATCH(TRIM(Raw_Data!E105),Lookup_Tables!$A$6:$A$18,0)),"Unknown - Review"))</f>
        <v>Medical Supplies</v>
      </c>
      <c r="F105" s="17" t="str">
        <f>IF(TRIM(Raw_Data!F105)="","",TRIM(Raw_Data!F105))</f>
        <v>Bandage Roll (Pack)</v>
      </c>
      <c r="G105" s="17">
        <f>IF(Raw_Data!G105="","",IF(VALUE(Raw_Data!G105)&lt;=0,"Invalid",VALUE(Raw_Data!G105)))</f>
        <v>305</v>
      </c>
      <c r="H105" s="17">
        <f>IF(Raw_Data!H105="","",IF(VALUE(Raw_Data!H105)&lt;=0,"Invalid",VALUE(Raw_Data!H105)))</f>
        <v>290</v>
      </c>
      <c r="I105" s="23">
        <f>IFERROR(VALUE(SUBSTITUTE(SUBSTITUTE(Raw_Data!I105,"₹",""),",","")),"")</f>
        <v>11750.9</v>
      </c>
      <c r="J105" s="17" t="str">
        <f>IF(TRIM(Raw_Data!J105)="","Not Specified",PROPER(TRIM(Raw_Data!J105)))</f>
        <v>Medium</v>
      </c>
      <c r="K105" s="17" t="str">
        <f>IF(TRIM(Raw_Data!K105)="","Not Specified",IFERROR(INDEX(Lookup_Tables!$E$6:$E$13,MATCH(TRIM(Raw_Data!K105),Lookup_Tables!$D$6:$D$13,0)),"Unknown - Review"))</f>
        <v>Not Specified</v>
      </c>
      <c r="L105" s="17" t="str">
        <f>IF(TRIM(Raw_Data!L105)="","",PROPER(TRIM(Raw_Data!L105)))</f>
        <v>Unit Commander</v>
      </c>
      <c r="M105" s="22">
        <f>IF(Raw_Data!M105="","",IF(ISNUMBER(Raw_Data!M105),Raw_Data!M105,IF(ISNUMBER(SEARCH("/",Raw_Data!M105)),IFERROR(DATE(VALUE(RIGHT(Raw_Data!M105,4)),VALUE(MID(Raw_Data!M105,4,2)),VALUE(LEFT(Raw_Data!M105,2))),"Invalid Date"),IFERROR(DATEVALUE(Raw_Data!M105),"Invalid Date"))))</f>
        <v>45910</v>
      </c>
      <c r="N105" s="22" t="str">
        <f>IF(Raw_Data!N105="","",IF(ISNUMBER(Raw_Data!N105),Raw_Data!N105,IF(ISNUMBER(SEARCH("/",Raw_Data!N105)),IFERROR(DATE(VALUE(RIGHT(Raw_Data!N105,4)),VALUE(MID(Raw_Data!N105,4,2)),VALUE(LEFT(Raw_Data!N105,2))),"Invalid Date"),IFERROR(DATEVALUE(Raw_Data!N105),"Invalid Date"))))</f>
        <v/>
      </c>
      <c r="O105" s="22" t="str">
        <f>IF(Raw_Data!O105="","",IF(ISNUMBER(Raw_Data!O105),Raw_Data!O105,IF(ISNUMBER(SEARCH("/",Raw_Data!O105)),IFERROR(DATE(VALUE(RIGHT(Raw_Data!O105,4)),VALUE(MID(Raw_Data!O105,4,2)),VALUE(LEFT(Raw_Data!O105,2))),"Invalid Date"),IFERROR(DATEVALUE(Raw_Data!O105),"Invalid Date"))))</f>
        <v/>
      </c>
      <c r="P105" s="17" t="str">
        <f>IF(OR(TRIM(Raw_Data!P105)="",TRIM(Raw_Data!P105)="N/A",TRIM(Raw_Data!P105)="TBD",TRIM(Raw_Data!P105)="-"),"Not Assigned",PROPER(TRIM(Raw_Data!P105)))</f>
        <v>Bharat Logistics Pvt Ltd</v>
      </c>
      <c r="Q105" s="24">
        <f t="shared" si="6"/>
        <v>3407761</v>
      </c>
      <c r="R105" s="17" t="str">
        <f t="shared" si="7"/>
        <v/>
      </c>
      <c r="S105" s="17" t="str">
        <f>IF(COUNTIF($A$2:A105,A105)&gt;1,"Duplicate","Unique")</f>
        <v>Unique</v>
      </c>
      <c r="T105" s="17" t="str">
        <f t="shared" si="8"/>
        <v>Yes</v>
      </c>
      <c r="U105" s="17" t="str">
        <f t="shared" si="9"/>
        <v>No</v>
      </c>
      <c r="V105" s="17" t="str">
        <f t="shared" si="10"/>
        <v>No</v>
      </c>
      <c r="W105" s="17" t="str">
        <f t="shared" si="11"/>
        <v>Sep-2025</v>
      </c>
    </row>
    <row r="106" spans="1:23" x14ac:dyDescent="0.3">
      <c r="A106" s="17" t="str">
        <f>TRIM(Raw_Data!A106)</f>
        <v>REQ-2025-0105</v>
      </c>
      <c r="B106" s="22">
        <f>IF(Raw_Data!B106="","",IF(ISNUMBER(Raw_Data!B106),Raw_Data!B106,IF(ISNUMBER(SEARCH("/",Raw_Data!B106)),IFERROR(DATE(VALUE(RIGHT(Raw_Data!B106,4)),VALUE(MID(Raw_Data!B106,4,2)),VALUE(LEFT(Raw_Data!B106,2))),"Invalid Date"),IFERROR(DATEVALUE(Raw_Data!B106),"Invalid Date"))))</f>
        <v>45874</v>
      </c>
      <c r="C106" s="17" t="str">
        <f>IF(TRIM(Raw_Data!C106)="","",PROPER(TRIM(Raw_Data!C106)))</f>
        <v>Unit A - Infantry</v>
      </c>
      <c r="D106" s="17" t="str">
        <f>IF(TRIM(Raw_Data!D106)="","Not Specified",IFERROR(INDEX(Lookup_Tables!$H$6:$H$12,MATCH(TRIM(Raw_Data!D106),Lookup_Tables!$G$6:$G$12,0)),"Unknown - Review"))</f>
        <v>Northern</v>
      </c>
      <c r="E106" s="17" t="str">
        <f>IF(TRIM(Raw_Data!E106)="","Not Specified",IFERROR(INDEX(Lookup_Tables!$B$6:$B$18,MATCH(TRIM(Raw_Data!E106),Lookup_Tables!$A$6:$A$18,0)),"Unknown - Review"))</f>
        <v>Communication Equipment</v>
      </c>
      <c r="F106" s="17" t="str">
        <f>IF(TRIM(Raw_Data!F106)="","",TRIM(Raw_Data!F106))</f>
        <v>Battery Pack (Radio)</v>
      </c>
      <c r="G106" s="17">
        <f>IF(Raw_Data!G106="","",IF(VALUE(Raw_Data!G106)&lt;=0,"Invalid",VALUE(Raw_Data!G106)))</f>
        <v>134</v>
      </c>
      <c r="H106" s="17">
        <f>IF(Raw_Data!H106="","",IF(VALUE(Raw_Data!H106)&lt;=0,"Invalid",VALUE(Raw_Data!H106)))</f>
        <v>114</v>
      </c>
      <c r="I106" s="23">
        <f>IFERROR(VALUE(SUBSTITUTE(SUBSTITUTE(Raw_Data!I106,"₹",""),",","")),"")</f>
        <v>28119</v>
      </c>
      <c r="J106" s="17" t="str">
        <f>IF(TRIM(Raw_Data!J106)="","Not Specified",PROPER(TRIM(Raw_Data!J106)))</f>
        <v>Low</v>
      </c>
      <c r="K106" s="17" t="str">
        <f>IF(TRIM(Raw_Data!K106)="","Not Specified",IFERROR(INDEX(Lookup_Tables!$E$6:$E$13,MATCH(TRIM(Raw_Data!K106),Lookup_Tables!$D$6:$D$13,0)),"Unknown - Review"))</f>
        <v>Delivered</v>
      </c>
      <c r="L106" s="17" t="str">
        <f>IF(TRIM(Raw_Data!L106)="","",PROPER(TRIM(Raw_Data!L106)))</f>
        <v>Unit Commander</v>
      </c>
      <c r="M106" s="22">
        <f>IF(Raw_Data!M106="","",IF(ISNUMBER(Raw_Data!M106),Raw_Data!M106,IF(ISNUMBER(SEARCH("/",Raw_Data!M106)),IFERROR(DATE(VALUE(RIGHT(Raw_Data!M106,4)),VALUE(MID(Raw_Data!M106,4,2)),VALUE(LEFT(Raw_Data!M106,2))),"Invalid Date"),IFERROR(DATEVALUE(Raw_Data!M106),"Invalid Date"))))</f>
        <v>45884</v>
      </c>
      <c r="N106" s="22">
        <f>IF(Raw_Data!N106="","",IF(ISNUMBER(Raw_Data!N106),Raw_Data!N106,IF(ISNUMBER(SEARCH("/",Raw_Data!N106)),IFERROR(DATE(VALUE(RIGHT(Raw_Data!N106,4)),VALUE(MID(Raw_Data!N106,4,2)),VALUE(LEFT(Raw_Data!N106,2))),"Invalid Date"),IFERROR(DATEVALUE(Raw_Data!N106),"Invalid Date"))))</f>
        <v>45892</v>
      </c>
      <c r="O106" s="22" t="str">
        <f>IF(Raw_Data!O106="","",IF(ISNUMBER(Raw_Data!O106),Raw_Data!O106,IF(ISNUMBER(SEARCH("/",Raw_Data!O106)),IFERROR(DATE(VALUE(RIGHT(Raw_Data!O106,4)),VALUE(MID(Raw_Data!O106,4,2)),VALUE(LEFT(Raw_Data!O106,2))),"Invalid Date"),IFERROR(DATEVALUE(Raw_Data!O106),"Invalid Date"))))</f>
        <v/>
      </c>
      <c r="P106" s="17" t="str">
        <f>IF(OR(TRIM(Raw_Data!P106)="",TRIM(Raw_Data!P106)="N/A",TRIM(Raw_Data!P106)="TBD",TRIM(Raw_Data!P106)="-"),"Not Assigned",PROPER(TRIM(Raw_Data!P106)))</f>
        <v>Om Suppliers</v>
      </c>
      <c r="Q106" s="24">
        <f t="shared" si="6"/>
        <v>3205566</v>
      </c>
      <c r="R106" s="17" t="str">
        <f t="shared" si="7"/>
        <v/>
      </c>
      <c r="S106" s="17" t="str">
        <f>IF(COUNTIF($A$2:A106,A106)&gt;1,"Duplicate","Unique")</f>
        <v>Unique</v>
      </c>
      <c r="T106" s="17" t="str">
        <f t="shared" si="8"/>
        <v>No</v>
      </c>
      <c r="U106" s="17" t="str">
        <f t="shared" si="9"/>
        <v>No</v>
      </c>
      <c r="V106" s="17" t="str">
        <f t="shared" si="10"/>
        <v>Yes</v>
      </c>
      <c r="W106" s="17" t="str">
        <f t="shared" si="11"/>
        <v>Aug-2025</v>
      </c>
    </row>
    <row r="107" spans="1:23" x14ac:dyDescent="0.3">
      <c r="A107" s="17" t="str">
        <f>TRIM(Raw_Data!A107)</f>
        <v>REQ-2025-0106</v>
      </c>
      <c r="B107" s="22">
        <f>IF(Raw_Data!B107="","",IF(ISNUMBER(Raw_Data!B107),Raw_Data!B107,IF(ISNUMBER(SEARCH("/",Raw_Data!B107)),IFERROR(DATE(VALUE(RIGHT(Raw_Data!B107,4)),VALUE(MID(Raw_Data!B107,4,2)),VALUE(LEFT(Raw_Data!B107,2))),"Invalid Date"),IFERROR(DATEVALUE(Raw_Data!B107),"Invalid Date"))))</f>
        <v>45993</v>
      </c>
      <c r="C107" s="17" t="str">
        <f>IF(TRIM(Raw_Data!C107)="","",PROPER(TRIM(Raw_Data!C107)))</f>
        <v>Unit G - Transport Corps</v>
      </c>
      <c r="D107" s="17" t="str">
        <f>IF(TRIM(Raw_Data!D107)="","Not Specified",IFERROR(INDEX(Lookup_Tables!$H$6:$H$12,MATCH(TRIM(Raw_Data!D107),Lookup_Tables!$G$6:$G$12,0)),"Unknown - Review"))</f>
        <v>Southern</v>
      </c>
      <c r="E107" s="17" t="str">
        <f>IF(TRIM(Raw_Data!E107)="","Not Specified",IFERROR(INDEX(Lookup_Tables!$B$6:$B$18,MATCH(TRIM(Raw_Data!E107),Lookup_Tables!$A$6:$A$18,0)),"Unknown - Review"))</f>
        <v>Uniforms &amp; Clothing</v>
      </c>
      <c r="F107" s="17" t="str">
        <f>IF(TRIM(Raw_Data!F107)="","",TRIM(Raw_Data!F107))</f>
        <v>Combat Uniform Set</v>
      </c>
      <c r="G107" s="17">
        <f>IF(Raw_Data!G107="","",IF(VALUE(Raw_Data!G107)&lt;=0,"Invalid",VALUE(Raw_Data!G107)))</f>
        <v>469</v>
      </c>
      <c r="H107" s="17">
        <f>IF(Raw_Data!H107="","",IF(VALUE(Raw_Data!H107)&lt;=0,"Invalid",VALUE(Raw_Data!H107)))</f>
        <v>333</v>
      </c>
      <c r="I107" s="23">
        <f>IFERROR(VALUE(SUBSTITUTE(SUBSTITUTE(Raw_Data!I107,"₹",""),",","")),"")</f>
        <v>31906.89</v>
      </c>
      <c r="J107" s="17" t="str">
        <f>IF(TRIM(Raw_Data!J107)="","Not Specified",PROPER(TRIM(Raw_Data!J107)))</f>
        <v>Low</v>
      </c>
      <c r="K107" s="17" t="str">
        <f>IF(TRIM(Raw_Data!K107)="","Not Specified",IFERROR(INDEX(Lookup_Tables!$E$6:$E$13,MATCH(TRIM(Raw_Data!K107),Lookup_Tables!$D$6:$D$13,0)),"Unknown - Review"))</f>
        <v>Dispatched</v>
      </c>
      <c r="L107" s="17" t="str">
        <f>IF(TRIM(Raw_Data!L107)="","",PROPER(TRIM(Raw_Data!L107)))</f>
        <v>Stores Officer</v>
      </c>
      <c r="M107" s="22">
        <f>IF(Raw_Data!M107="","",IF(ISNUMBER(Raw_Data!M107),Raw_Data!M107,IF(ISNUMBER(SEARCH("/",Raw_Data!M107)),IFERROR(DATE(VALUE(RIGHT(Raw_Data!M107,4)),VALUE(MID(Raw_Data!M107,4,2)),VALUE(LEFT(Raw_Data!M107,2))),"Invalid Date"),IFERROR(DATEVALUE(Raw_Data!M107),"Invalid Date"))))</f>
        <v>46003</v>
      </c>
      <c r="N107" s="22">
        <f>IF(Raw_Data!N107="","",IF(ISNUMBER(Raw_Data!N107),Raw_Data!N107,IF(ISNUMBER(SEARCH("/",Raw_Data!N107)),IFERROR(DATE(VALUE(RIGHT(Raw_Data!N107,4)),VALUE(MID(Raw_Data!N107,4,2)),VALUE(LEFT(Raw_Data!N107,2))),"Invalid Date"),IFERROR(DATEVALUE(Raw_Data!N107),"Invalid Date"))))</f>
        <v>46014</v>
      </c>
      <c r="O107" s="22" t="str">
        <f>IF(Raw_Data!O107="","",IF(ISNUMBER(Raw_Data!O107),Raw_Data!O107,IF(ISNUMBER(SEARCH("/",Raw_Data!O107)),IFERROR(DATE(VALUE(RIGHT(Raw_Data!O107,4)),VALUE(MID(Raw_Data!O107,4,2)),VALUE(LEFT(Raw_Data!O107,2))),"Invalid Date"),IFERROR(DATEVALUE(Raw_Data!O107),"Invalid Date"))))</f>
        <v/>
      </c>
      <c r="P107" s="17" t="str">
        <f>IF(OR(TRIM(Raw_Data!P107)="",TRIM(Raw_Data!P107)="N/A",TRIM(Raw_Data!P107)="TBD",TRIM(Raw_Data!P107)="-"),"Not Assigned",PROPER(TRIM(Raw_Data!P107)))</f>
        <v>Om Suppliers</v>
      </c>
      <c r="Q107" s="24">
        <f t="shared" si="6"/>
        <v>10624994.369999999</v>
      </c>
      <c r="R107" s="17" t="str">
        <f t="shared" si="7"/>
        <v/>
      </c>
      <c r="S107" s="17" t="str">
        <f>IF(COUNTIF($A$2:A107,A107)&gt;1,"Duplicate","Unique")</f>
        <v>Unique</v>
      </c>
      <c r="T107" s="17" t="str">
        <f t="shared" si="8"/>
        <v>No</v>
      </c>
      <c r="U107" s="17" t="str">
        <f t="shared" si="9"/>
        <v>No</v>
      </c>
      <c r="V107" s="17" t="str">
        <f t="shared" si="10"/>
        <v>Yes</v>
      </c>
      <c r="W107" s="17" t="str">
        <f t="shared" si="11"/>
        <v>Dec-2025</v>
      </c>
    </row>
    <row r="108" spans="1:23" x14ac:dyDescent="0.3">
      <c r="A108" s="17" t="str">
        <f>TRIM(Raw_Data!A108)</f>
        <v>REQ-2025-0107</v>
      </c>
      <c r="B108" s="22">
        <f>IF(Raw_Data!B108="","",IF(ISNUMBER(Raw_Data!B108),Raw_Data!B108,IF(ISNUMBER(SEARCH("/",Raw_Data!B108)),IFERROR(DATE(VALUE(RIGHT(Raw_Data!B108,4)),VALUE(MID(Raw_Data!B108,4,2)),VALUE(LEFT(Raw_Data!B108,2))),"Invalid Date"),IFERROR(DATEVALUE(Raw_Data!B108),"Invalid Date"))))</f>
        <v>45772</v>
      </c>
      <c r="C108" s="17" t="str">
        <f>IF(TRIM(Raw_Data!C108)="","",PROPER(TRIM(Raw_Data!C108)))</f>
        <v>Unit F - Ordnance Depot</v>
      </c>
      <c r="D108" s="17" t="str">
        <f>IF(TRIM(Raw_Data!D108)="","Not Specified",IFERROR(INDEX(Lookup_Tables!$H$6:$H$12,MATCH(TRIM(Raw_Data!D108),Lookup_Tables!$G$6:$G$12,0)),"Unknown - Review"))</f>
        <v>Northern</v>
      </c>
      <c r="E108" s="17" t="str">
        <f>IF(TRIM(Raw_Data!E108)="","Not Specified",IFERROR(INDEX(Lookup_Tables!$B$6:$B$18,MATCH(TRIM(Raw_Data!E108),Lookup_Tables!$A$6:$A$18,0)),"Unknown - Review"))</f>
        <v>Medical Supplies</v>
      </c>
      <c r="F108" s="17" t="str">
        <f>IF(TRIM(Raw_Data!F108)="","",TRIM(Raw_Data!F108))</f>
        <v>Bandage Roll (Pack)</v>
      </c>
      <c r="G108" s="17">
        <f>IF(Raw_Data!G108="","",IF(VALUE(Raw_Data!G108)&lt;=0,"Invalid",VALUE(Raw_Data!G108)))</f>
        <v>408</v>
      </c>
      <c r="H108" s="17">
        <f>IF(Raw_Data!H108="","",IF(VALUE(Raw_Data!H108)&lt;=0,"Invalid",VALUE(Raw_Data!H108)))</f>
        <v>357</v>
      </c>
      <c r="I108" s="23">
        <f>IFERROR(VALUE(SUBSTITUTE(SUBSTITUTE(Raw_Data!I108,"₹",""),",","")),"")</f>
        <v>20949.66</v>
      </c>
      <c r="J108" s="17" t="str">
        <f>IF(TRIM(Raw_Data!J108)="","Not Specified",PROPER(TRIM(Raw_Data!J108)))</f>
        <v>Low</v>
      </c>
      <c r="K108" s="17" t="str">
        <f>IF(TRIM(Raw_Data!K108)="","Not Specified",IFERROR(INDEX(Lookup_Tables!$E$6:$E$13,MATCH(TRIM(Raw_Data!K108),Lookup_Tables!$D$6:$D$13,0)),"Unknown - Review"))</f>
        <v>Delivered</v>
      </c>
      <c r="L108" s="17" t="str">
        <f>IF(TRIM(Raw_Data!L108)="","",PROPER(TRIM(Raw_Data!L108)))</f>
        <v>Unit Commander</v>
      </c>
      <c r="M108" s="22" t="str">
        <f>IF(Raw_Data!M108="","",IF(ISNUMBER(Raw_Data!M108),Raw_Data!M108,IF(ISNUMBER(SEARCH("/",Raw_Data!M108)),IFERROR(DATE(VALUE(RIGHT(Raw_Data!M108,4)),VALUE(MID(Raw_Data!M108,4,2)),VALUE(LEFT(Raw_Data!M108,2))),"Invalid Date"),IFERROR(DATEVALUE(Raw_Data!M108),"Invalid Date"))))</f>
        <v/>
      </c>
      <c r="N108" s="22">
        <f>IF(Raw_Data!N108="","",IF(ISNUMBER(Raw_Data!N108),Raw_Data!N108,IF(ISNUMBER(SEARCH("/",Raw_Data!N108)),IFERROR(DATE(VALUE(RIGHT(Raw_Data!N108,4)),VALUE(MID(Raw_Data!N108,4,2)),VALUE(LEFT(Raw_Data!N108,2))),"Invalid Date"),IFERROR(DATEVALUE(Raw_Data!N108),"Invalid Date"))))</f>
        <v>45794</v>
      </c>
      <c r="O108" s="22">
        <f>IF(Raw_Data!O108="","",IF(ISNUMBER(Raw_Data!O108),Raw_Data!O108,IF(ISNUMBER(SEARCH("/",Raw_Data!O108)),IFERROR(DATE(VALUE(RIGHT(Raw_Data!O108,4)),VALUE(MID(Raw_Data!O108,4,2)),VALUE(LEFT(Raw_Data!O108,2))),"Invalid Date"),IFERROR(DATEVALUE(Raw_Data!O108),"Invalid Date"))))</f>
        <v>45790</v>
      </c>
      <c r="P108" s="17" t="str">
        <f>IF(OR(TRIM(Raw_Data!P108)="",TRIM(Raw_Data!P108)="N/A",TRIM(Raw_Data!P108)="TBD",TRIM(Raw_Data!P108)="-"),"Not Assigned",PROPER(TRIM(Raw_Data!P108)))</f>
        <v>Not Assigned</v>
      </c>
      <c r="Q108" s="24">
        <f t="shared" si="6"/>
        <v>7479028.6200000001</v>
      </c>
      <c r="R108" s="17">
        <f t="shared" si="7"/>
        <v>-4</v>
      </c>
      <c r="S108" s="17" t="str">
        <f>IF(COUNTIF($A$2:A108,A108)&gt;1,"Duplicate","Unique")</f>
        <v>Unique</v>
      </c>
      <c r="T108" s="17" t="str">
        <f t="shared" si="8"/>
        <v>No</v>
      </c>
      <c r="U108" s="17" t="str">
        <f t="shared" si="9"/>
        <v>No</v>
      </c>
      <c r="V108" s="17" t="str">
        <f t="shared" si="10"/>
        <v>Yes</v>
      </c>
      <c r="W108" s="17" t="str">
        <f t="shared" si="11"/>
        <v>Apr-2025</v>
      </c>
    </row>
    <row r="109" spans="1:23" x14ac:dyDescent="0.3">
      <c r="A109" s="17" t="str">
        <f>TRIM(Raw_Data!A109)</f>
        <v>REQ-2025-0108</v>
      </c>
      <c r="B109" s="22">
        <f>IF(Raw_Data!B109="","",IF(ISNUMBER(Raw_Data!B109),Raw_Data!B109,IF(ISNUMBER(SEARCH("/",Raw_Data!B109)),IFERROR(DATE(VALUE(RIGHT(Raw_Data!B109,4)),VALUE(MID(Raw_Data!B109,4,2)),VALUE(LEFT(Raw_Data!B109,2))),"Invalid Date"),IFERROR(DATEVALUE(Raw_Data!B109),"Invalid Date"))))</f>
        <v>45889</v>
      </c>
      <c r="C109" s="17" t="str">
        <f>IF(TRIM(Raw_Data!C109)="","",PROPER(TRIM(Raw_Data!C109)))</f>
        <v>Unit C - Engineers</v>
      </c>
      <c r="D109" s="17" t="str">
        <f>IF(TRIM(Raw_Data!D109)="","Not Specified",IFERROR(INDEX(Lookup_Tables!$H$6:$H$12,MATCH(TRIM(Raw_Data!D109),Lookup_Tables!$G$6:$G$12,0)),"Unknown - Review"))</f>
        <v>Eastern</v>
      </c>
      <c r="E109" s="17" t="str">
        <f>IF(TRIM(Raw_Data!E109)="","Not Specified",IFERROR(INDEX(Lookup_Tables!$B$6:$B$18,MATCH(TRIM(Raw_Data!E109),Lookup_Tables!$A$6:$A$18,0)),"Unknown - Review"))</f>
        <v>Rations</v>
      </c>
      <c r="F109" s="17" t="str">
        <f>IF(TRIM(Raw_Data!F109)="","",TRIM(Raw_Data!F109))</f>
        <v>Dry Ration Pack</v>
      </c>
      <c r="G109" s="17">
        <f>IF(Raw_Data!G109="","",IF(VALUE(Raw_Data!G109)&lt;=0,"Invalid",VALUE(Raw_Data!G109)))</f>
        <v>255</v>
      </c>
      <c r="H109" s="17">
        <f>IF(Raw_Data!H109="","",IF(VALUE(Raw_Data!H109)&lt;=0,"Invalid",VALUE(Raw_Data!H109)))</f>
        <v>188</v>
      </c>
      <c r="I109" s="23">
        <f>IFERROR(VALUE(SUBSTITUTE(SUBSTITUTE(Raw_Data!I109,"₹",""),",","")),"")</f>
        <v>19602</v>
      </c>
      <c r="J109" s="17" t="str">
        <f>IF(TRIM(Raw_Data!J109)="","Not Specified",PROPER(TRIM(Raw_Data!J109)))</f>
        <v>Medium</v>
      </c>
      <c r="K109" s="17" t="str">
        <f>IF(TRIM(Raw_Data!K109)="","Not Specified",IFERROR(INDEX(Lookup_Tables!$E$6:$E$13,MATCH(TRIM(Raw_Data!K109),Lookup_Tables!$D$6:$D$13,0)),"Unknown - Review"))</f>
        <v>Approved</v>
      </c>
      <c r="L109" s="17" t="str">
        <f>IF(TRIM(Raw_Data!L109)="","",PROPER(TRIM(Raw_Data!L109)))</f>
        <v>Logistics Officer</v>
      </c>
      <c r="M109" s="22">
        <f>IF(Raw_Data!M109="","",IF(ISNUMBER(Raw_Data!M109),Raw_Data!M109,IF(ISNUMBER(SEARCH("/",Raw_Data!M109)),IFERROR(DATE(VALUE(RIGHT(Raw_Data!M109,4)),VALUE(MID(Raw_Data!M109,4,2)),VALUE(LEFT(Raw_Data!M109,2))),"Invalid Date"),IFERROR(DATEVALUE(Raw_Data!M109),"Invalid Date"))))</f>
        <v>45896</v>
      </c>
      <c r="N109" s="22" t="str">
        <f>IF(Raw_Data!N109="","",IF(ISNUMBER(Raw_Data!N109),Raw_Data!N109,IF(ISNUMBER(SEARCH("/",Raw_Data!N109)),IFERROR(DATE(VALUE(RIGHT(Raw_Data!N109,4)),VALUE(MID(Raw_Data!N109,4,2)),VALUE(LEFT(Raw_Data!N109,2))),"Invalid Date"),IFERROR(DATEVALUE(Raw_Data!N109),"Invalid Date"))))</f>
        <v/>
      </c>
      <c r="O109" s="22" t="str">
        <f>IF(Raw_Data!O109="","",IF(ISNUMBER(Raw_Data!O109),Raw_Data!O109,IF(ISNUMBER(SEARCH("/",Raw_Data!O109)),IFERROR(DATE(VALUE(RIGHT(Raw_Data!O109,4)),VALUE(MID(Raw_Data!O109,4,2)),VALUE(LEFT(Raw_Data!O109,2))),"Invalid Date"),IFERROR(DATEVALUE(Raw_Data!O109),"Invalid Date"))))</f>
        <v/>
      </c>
      <c r="P109" s="17" t="str">
        <f>IF(OR(TRIM(Raw_Data!P109)="",TRIM(Raw_Data!P109)="N/A",TRIM(Raw_Data!P109)="TBD",TRIM(Raw_Data!P109)="-"),"Not Assigned",PROPER(TRIM(Raw_Data!P109)))</f>
        <v>Rapid Vendors Ltd</v>
      </c>
      <c r="Q109" s="24">
        <f t="shared" si="6"/>
        <v>3685176</v>
      </c>
      <c r="R109" s="17" t="str">
        <f t="shared" si="7"/>
        <v/>
      </c>
      <c r="S109" s="17" t="str">
        <f>IF(COUNTIF($A$2:A109,A109)&gt;1,"Duplicate","Unique")</f>
        <v>Unique</v>
      </c>
      <c r="T109" s="17" t="str">
        <f t="shared" si="8"/>
        <v>No</v>
      </c>
      <c r="U109" s="17" t="str">
        <f t="shared" si="9"/>
        <v>No</v>
      </c>
      <c r="V109" s="17" t="str">
        <f t="shared" si="10"/>
        <v>Yes</v>
      </c>
      <c r="W109" s="17" t="str">
        <f t="shared" si="11"/>
        <v>Aug-2025</v>
      </c>
    </row>
    <row r="110" spans="1:23" x14ac:dyDescent="0.3">
      <c r="A110" s="17" t="str">
        <f>TRIM(Raw_Data!A110)</f>
        <v>REQ-2025-0109</v>
      </c>
      <c r="B110" s="22" t="str">
        <f>IF(Raw_Data!B110="","",IF(ISNUMBER(Raw_Data!B110),Raw_Data!B110,IF(ISNUMBER(SEARCH("/",Raw_Data!B110)),IFERROR(DATE(VALUE(RIGHT(Raw_Data!B110,4)),VALUE(MID(Raw_Data!B110,4,2)),VALUE(LEFT(Raw_Data!B110,2))),"Invalid Date"),IFERROR(DATEVALUE(Raw_Data!B110),"Invalid Date"))))</f>
        <v/>
      </c>
      <c r="C110" s="17" t="str">
        <f>IF(TRIM(Raw_Data!C110)="","",PROPER(TRIM(Raw_Data!C110)))</f>
        <v>Unit C - Engineers</v>
      </c>
      <c r="D110" s="17" t="str">
        <f>IF(TRIM(Raw_Data!D110)="","Not Specified",IFERROR(INDEX(Lookup_Tables!$H$6:$H$12,MATCH(TRIM(Raw_Data!D110),Lookup_Tables!$G$6:$G$12,0)),"Unknown - Review"))</f>
        <v>Eastern</v>
      </c>
      <c r="E110" s="17" t="str">
        <f>IF(TRIM(Raw_Data!E110)="","Not Specified",IFERROR(INDEX(Lookup_Tables!$B$6:$B$18,MATCH(TRIM(Raw_Data!E110),Lookup_Tables!$A$6:$A$18,0)),"Unknown - Review"))</f>
        <v>Rations</v>
      </c>
      <c r="F110" s="17" t="str">
        <f>IF(TRIM(Raw_Data!F110)="","",TRIM(Raw_Data!F110))</f>
        <v>Rice (50kg bag)</v>
      </c>
      <c r="G110" s="17">
        <f>IF(Raw_Data!G110="","",IF(VALUE(Raw_Data!G110)&lt;=0,"Invalid",VALUE(Raw_Data!G110)))</f>
        <v>459</v>
      </c>
      <c r="H110" s="17">
        <f>IF(Raw_Data!H110="","",IF(VALUE(Raw_Data!H110)&lt;=0,"Invalid",VALUE(Raw_Data!H110)))</f>
        <v>458</v>
      </c>
      <c r="I110" s="23">
        <f>IFERROR(VALUE(SUBSTITUTE(SUBSTITUTE(Raw_Data!I110,"₹",""),",","")),"")</f>
        <v>22135</v>
      </c>
      <c r="J110" s="17" t="str">
        <f>IF(TRIM(Raw_Data!J110)="","Not Specified",PROPER(TRIM(Raw_Data!J110)))</f>
        <v>Low</v>
      </c>
      <c r="K110" s="17" t="str">
        <f>IF(TRIM(Raw_Data!K110)="","Not Specified",IFERROR(INDEX(Lookup_Tables!$E$6:$E$13,MATCH(TRIM(Raw_Data!K110),Lookup_Tables!$D$6:$D$13,0)),"Unknown - Review"))</f>
        <v>Dispatched</v>
      </c>
      <c r="L110" s="17" t="str">
        <f>IF(TRIM(Raw_Data!L110)="","",PROPER(TRIM(Raw_Data!L110)))</f>
        <v>Unit Commander</v>
      </c>
      <c r="M110" s="22">
        <f>IF(Raw_Data!M110="","",IF(ISNUMBER(Raw_Data!M110),Raw_Data!M110,IF(ISNUMBER(SEARCH("/",Raw_Data!M110)),IFERROR(DATE(VALUE(RIGHT(Raw_Data!M110,4)),VALUE(MID(Raw_Data!M110,4,2)),VALUE(LEFT(Raw_Data!M110,2))),"Invalid Date"),IFERROR(DATEVALUE(Raw_Data!M110),"Invalid Date"))))</f>
        <v>45810</v>
      </c>
      <c r="N110" s="22" t="str">
        <f>IF(Raw_Data!N110="","",IF(ISNUMBER(Raw_Data!N110),Raw_Data!N110,IF(ISNUMBER(SEARCH("/",Raw_Data!N110)),IFERROR(DATE(VALUE(RIGHT(Raw_Data!N110,4)),VALUE(MID(Raw_Data!N110,4,2)),VALUE(LEFT(Raw_Data!N110,2))),"Invalid Date"),IFERROR(DATEVALUE(Raw_Data!N110),"Invalid Date"))))</f>
        <v/>
      </c>
      <c r="O110" s="22" t="str">
        <f>IF(Raw_Data!O110="","",IF(ISNUMBER(Raw_Data!O110),Raw_Data!O110,IF(ISNUMBER(SEARCH("/",Raw_Data!O110)),IFERROR(DATE(VALUE(RIGHT(Raw_Data!O110,4)),VALUE(MID(Raw_Data!O110,4,2)),VALUE(LEFT(Raw_Data!O110,2))),"Invalid Date"),IFERROR(DATEVALUE(Raw_Data!O110),"Invalid Date"))))</f>
        <v/>
      </c>
      <c r="P110" s="17" t="str">
        <f>IF(OR(TRIM(Raw_Data!P110)="",TRIM(Raw_Data!P110)="N/A",TRIM(Raw_Data!P110)="TBD",TRIM(Raw_Data!P110)="-"),"Not Assigned",PROPER(TRIM(Raw_Data!P110)))</f>
        <v>Not Assigned</v>
      </c>
      <c r="Q110" s="24">
        <f t="shared" si="6"/>
        <v>10137830</v>
      </c>
      <c r="R110" s="17" t="str">
        <f t="shared" si="7"/>
        <v/>
      </c>
      <c r="S110" s="17" t="str">
        <f>IF(COUNTIF($A$2:A110,A110)&gt;1,"Duplicate","Unique")</f>
        <v>Unique</v>
      </c>
      <c r="T110" s="17" t="str">
        <f t="shared" si="8"/>
        <v>No</v>
      </c>
      <c r="U110" s="17" t="str">
        <f t="shared" si="9"/>
        <v>No</v>
      </c>
      <c r="V110" s="17" t="str">
        <f t="shared" si="10"/>
        <v>Yes</v>
      </c>
      <c r="W110" s="17" t="str">
        <f t="shared" si="11"/>
        <v/>
      </c>
    </row>
    <row r="111" spans="1:23" x14ac:dyDescent="0.3">
      <c r="A111" s="17" t="str">
        <f>TRIM(Raw_Data!A111)</f>
        <v>REQ-2025-0110</v>
      </c>
      <c r="B111" s="22">
        <f>IF(Raw_Data!B111="","",IF(ISNUMBER(Raw_Data!B111),Raw_Data!B111,IF(ISNUMBER(SEARCH("/",Raw_Data!B111)),IFERROR(DATE(VALUE(RIGHT(Raw_Data!B111,4)),VALUE(MID(Raw_Data!B111,4,2)),VALUE(LEFT(Raw_Data!B111,2))),"Invalid Date"),IFERROR(DATEVALUE(Raw_Data!B111),"Invalid Date"))))</f>
        <v>45852</v>
      </c>
      <c r="C111" s="17" t="str">
        <f>IF(TRIM(Raw_Data!C111)="","",PROPER(TRIM(Raw_Data!C111)))</f>
        <v>Unit A - Infantry</v>
      </c>
      <c r="D111" s="17" t="str">
        <f>IF(TRIM(Raw_Data!D111)="","Not Specified",IFERROR(INDEX(Lookup_Tables!$H$6:$H$12,MATCH(TRIM(Raw_Data!D111),Lookup_Tables!$G$6:$G$12,0)),"Unknown - Review"))</f>
        <v>Northern</v>
      </c>
      <c r="E111" s="17" t="str">
        <f>IF(TRIM(Raw_Data!E111)="","Not Specified",IFERROR(INDEX(Lookup_Tables!$B$6:$B$18,MATCH(TRIM(Raw_Data!E111),Lookup_Tables!$A$6:$A$18,0)),"Unknown - Review"))</f>
        <v>Construction Material</v>
      </c>
      <c r="F111" s="17" t="str">
        <f>IF(TRIM(Raw_Data!F111)="","",TRIM(Raw_Data!F111))</f>
        <v>Timber Plank Set</v>
      </c>
      <c r="G111" s="17">
        <f>IF(Raw_Data!G111="","",IF(VALUE(Raw_Data!G111)&lt;=0,"Invalid",VALUE(Raw_Data!G111)))</f>
        <v>364</v>
      </c>
      <c r="H111" s="17" t="str">
        <f>IF(Raw_Data!H111="","",IF(VALUE(Raw_Data!H111)&lt;=0,"Invalid",VALUE(Raw_Data!H111)))</f>
        <v/>
      </c>
      <c r="I111" s="23">
        <f>IFERROR(VALUE(SUBSTITUTE(SUBSTITUTE(Raw_Data!I111,"₹",""),",","")),"")</f>
        <v>31329.360000000001</v>
      </c>
      <c r="J111" s="17" t="str">
        <f>IF(TRIM(Raw_Data!J111)="","Not Specified",PROPER(TRIM(Raw_Data!J111)))</f>
        <v>Low</v>
      </c>
      <c r="K111" s="17" t="str">
        <f>IF(TRIM(Raw_Data!K111)="","Not Specified",IFERROR(INDEX(Lookup_Tables!$E$6:$E$13,MATCH(TRIM(Raw_Data!K111),Lookup_Tables!$D$6:$D$13,0)),"Unknown - Review"))</f>
        <v>Pending</v>
      </c>
      <c r="L111" s="17" t="str">
        <f>IF(TRIM(Raw_Data!L111)="","",PROPER(TRIM(Raw_Data!L111)))</f>
        <v>Unit Commander</v>
      </c>
      <c r="M111" s="22" t="str">
        <f>IF(Raw_Data!M111="","",IF(ISNUMBER(Raw_Data!M111),Raw_Data!M111,IF(ISNUMBER(SEARCH("/",Raw_Data!M111)),IFERROR(DATE(VALUE(RIGHT(Raw_Data!M111,4)),VALUE(MID(Raw_Data!M111,4,2)),VALUE(LEFT(Raw_Data!M111,2))),"Invalid Date"),IFERROR(DATEVALUE(Raw_Data!M111),"Invalid Date"))))</f>
        <v/>
      </c>
      <c r="N111" s="22" t="str">
        <f>IF(Raw_Data!N111="","",IF(ISNUMBER(Raw_Data!N111),Raw_Data!N111,IF(ISNUMBER(SEARCH("/",Raw_Data!N111)),IFERROR(DATE(VALUE(RIGHT(Raw_Data!N111,4)),VALUE(MID(Raw_Data!N111,4,2)),VALUE(LEFT(Raw_Data!N111,2))),"Invalid Date"),IFERROR(DATEVALUE(Raw_Data!N111),"Invalid Date"))))</f>
        <v/>
      </c>
      <c r="O111" s="22" t="str">
        <f>IF(Raw_Data!O111="","",IF(ISNUMBER(Raw_Data!O111),Raw_Data!O111,IF(ISNUMBER(SEARCH("/",Raw_Data!O111)),IFERROR(DATE(VALUE(RIGHT(Raw_Data!O111,4)),VALUE(MID(Raw_Data!O111,4,2)),VALUE(LEFT(Raw_Data!O111,2))),"Invalid Date"),IFERROR(DATEVALUE(Raw_Data!O111),"Invalid Date"))))</f>
        <v/>
      </c>
      <c r="P111" s="17" t="str">
        <f>IF(OR(TRIM(Raw_Data!P111)="",TRIM(Raw_Data!P111)="N/A",TRIM(Raw_Data!P111)="TBD",TRIM(Raw_Data!P111)="-"),"Not Assigned",PROPER(TRIM(Raw_Data!P111)))</f>
        <v>Not Assigned</v>
      </c>
      <c r="Q111" s="24" t="str">
        <f t="shared" si="6"/>
        <v/>
      </c>
      <c r="R111" s="17" t="str">
        <f t="shared" si="7"/>
        <v/>
      </c>
      <c r="S111" s="17" t="str">
        <f>IF(COUNTIF($A$2:A111,A111)&gt;1,"Duplicate","Unique")</f>
        <v>Unique</v>
      </c>
      <c r="T111" s="17" t="str">
        <f t="shared" si="8"/>
        <v>No</v>
      </c>
      <c r="U111" s="17" t="str">
        <f t="shared" si="9"/>
        <v>No</v>
      </c>
      <c r="V111" s="17" t="str">
        <f t="shared" si="10"/>
        <v>Yes</v>
      </c>
      <c r="W111" s="17" t="str">
        <f t="shared" si="11"/>
        <v>Jul-2025</v>
      </c>
    </row>
    <row r="112" spans="1:23" x14ac:dyDescent="0.3">
      <c r="A112" s="17" t="str">
        <f>TRIM(Raw_Data!A112)</f>
        <v>REQ-2025-0111</v>
      </c>
      <c r="B112" s="22">
        <f>IF(Raw_Data!B112="","",IF(ISNUMBER(Raw_Data!B112),Raw_Data!B112,IF(ISNUMBER(SEARCH("/",Raw_Data!B112)),IFERROR(DATE(VALUE(RIGHT(Raw_Data!B112,4)),VALUE(MID(Raw_Data!B112,4,2)),VALUE(LEFT(Raw_Data!B112,2))),"Invalid Date"),IFERROR(DATEVALUE(Raw_Data!B112),"Invalid Date"))))</f>
        <v>45740</v>
      </c>
      <c r="C112" s="17" t="str">
        <f>IF(TRIM(Raw_Data!C112)="","",PROPER(TRIM(Raw_Data!C112)))</f>
        <v>Unit D - Signals</v>
      </c>
      <c r="D112" s="17" t="str">
        <f>IF(TRIM(Raw_Data!D112)="","Not Specified",IFERROR(INDEX(Lookup_Tables!$H$6:$H$12,MATCH(TRIM(Raw_Data!D112),Lookup_Tables!$G$6:$G$12,0)),"Unknown - Review"))</f>
        <v>Western</v>
      </c>
      <c r="E112" s="17" t="str">
        <f>IF(TRIM(Raw_Data!E112)="","Not Specified",IFERROR(INDEX(Lookup_Tables!$B$6:$B$18,MATCH(TRIM(Raw_Data!E112),Lookup_Tables!$A$6:$A$18,0)),"Unknown - Review"))</f>
        <v>Construction Material</v>
      </c>
      <c r="F112" s="17" t="str">
        <f>IF(TRIM(Raw_Data!F112)="","",TRIM(Raw_Data!F112))</f>
        <v>Sandbag (Pack of 50)</v>
      </c>
      <c r="G112" s="17">
        <f>IF(Raw_Data!G112="","",IF(VALUE(Raw_Data!G112)&lt;=0,"Invalid",VALUE(Raw_Data!G112)))</f>
        <v>357</v>
      </c>
      <c r="H112" s="17" t="str">
        <f>IF(Raw_Data!H112="","",IF(VALUE(Raw_Data!H112)&lt;=0,"Invalid",VALUE(Raw_Data!H112)))</f>
        <v/>
      </c>
      <c r="I112" s="23">
        <f>IFERROR(VALUE(SUBSTITUTE(SUBSTITUTE(Raw_Data!I112,"₹",""),",","")),"")</f>
        <v>14977.57</v>
      </c>
      <c r="J112" s="17" t="str">
        <f>IF(TRIM(Raw_Data!J112)="","Not Specified",PROPER(TRIM(Raw_Data!J112)))</f>
        <v>Routine</v>
      </c>
      <c r="K112" s="17" t="str">
        <f>IF(TRIM(Raw_Data!K112)="","Not Specified",IFERROR(INDEX(Lookup_Tables!$E$6:$E$13,MATCH(TRIM(Raw_Data!K112),Lookup_Tables!$D$6:$D$13,0)),"Unknown - Review"))</f>
        <v>Pending</v>
      </c>
      <c r="L112" s="17" t="str">
        <f>IF(TRIM(Raw_Data!L112)="","",PROPER(TRIM(Raw_Data!L112)))</f>
        <v>Logistics Officer</v>
      </c>
      <c r="M112" s="22" t="str">
        <f>IF(Raw_Data!M112="","",IF(ISNUMBER(Raw_Data!M112),Raw_Data!M112,IF(ISNUMBER(SEARCH("/",Raw_Data!M112)),IFERROR(DATE(VALUE(RIGHT(Raw_Data!M112,4)),VALUE(MID(Raw_Data!M112,4,2)),VALUE(LEFT(Raw_Data!M112,2))),"Invalid Date"),IFERROR(DATEVALUE(Raw_Data!M112),"Invalid Date"))))</f>
        <v/>
      </c>
      <c r="N112" s="22" t="str">
        <f>IF(Raw_Data!N112="","",IF(ISNUMBER(Raw_Data!N112),Raw_Data!N112,IF(ISNUMBER(SEARCH("/",Raw_Data!N112)),IFERROR(DATE(VALUE(RIGHT(Raw_Data!N112,4)),VALUE(MID(Raw_Data!N112,4,2)),VALUE(LEFT(Raw_Data!N112,2))),"Invalid Date"),IFERROR(DATEVALUE(Raw_Data!N112),"Invalid Date"))))</f>
        <v/>
      </c>
      <c r="O112" s="22" t="str">
        <f>IF(Raw_Data!O112="","",IF(ISNUMBER(Raw_Data!O112),Raw_Data!O112,IF(ISNUMBER(SEARCH("/",Raw_Data!O112)),IFERROR(DATE(VALUE(RIGHT(Raw_Data!O112,4)),VALUE(MID(Raw_Data!O112,4,2)),VALUE(LEFT(Raw_Data!O112,2))),"Invalid Date"),IFERROR(DATEVALUE(Raw_Data!O112),"Invalid Date"))))</f>
        <v/>
      </c>
      <c r="P112" s="17" t="str">
        <f>IF(OR(TRIM(Raw_Data!P112)="",TRIM(Raw_Data!P112)="N/A",TRIM(Raw_Data!P112)="TBD",TRIM(Raw_Data!P112)="-"),"Not Assigned",PROPER(TRIM(Raw_Data!P112)))</f>
        <v>Not Assigned</v>
      </c>
      <c r="Q112" s="24" t="str">
        <f t="shared" si="6"/>
        <v/>
      </c>
      <c r="R112" s="17" t="str">
        <f t="shared" si="7"/>
        <v/>
      </c>
      <c r="S112" s="17" t="str">
        <f>IF(COUNTIF($A$2:A112,A112)&gt;1,"Duplicate","Unique")</f>
        <v>Unique</v>
      </c>
      <c r="T112" s="17" t="str">
        <f t="shared" si="8"/>
        <v>No</v>
      </c>
      <c r="U112" s="17" t="str">
        <f t="shared" si="9"/>
        <v>No</v>
      </c>
      <c r="V112" s="17" t="str">
        <f t="shared" si="10"/>
        <v>Yes</v>
      </c>
      <c r="W112" s="17" t="str">
        <f t="shared" si="11"/>
        <v>Mar-2025</v>
      </c>
    </row>
    <row r="113" spans="1:23" x14ac:dyDescent="0.3">
      <c r="A113" s="17" t="str">
        <f>TRIM(Raw_Data!A113)</f>
        <v>REQ-2025-0112</v>
      </c>
      <c r="B113" s="22">
        <f>IF(Raw_Data!B113="","",IF(ISNUMBER(Raw_Data!B113),Raw_Data!B113,IF(ISNUMBER(SEARCH("/",Raw_Data!B113)),IFERROR(DATE(VALUE(RIGHT(Raw_Data!B113,4)),VALUE(MID(Raw_Data!B113,4,2)),VALUE(LEFT(Raw_Data!B113,2))),"Invalid Date"),IFERROR(DATEVALUE(Raw_Data!B113),"Invalid Date"))))</f>
        <v>45717</v>
      </c>
      <c r="C113" s="17" t="str">
        <f>IF(TRIM(Raw_Data!C113)="","",PROPER(TRIM(Raw_Data!C113)))</f>
        <v>Unit A - Infantry</v>
      </c>
      <c r="D113" s="17" t="str">
        <f>IF(TRIM(Raw_Data!D113)="","Not Specified",IFERROR(INDEX(Lookup_Tables!$H$6:$H$12,MATCH(TRIM(Raw_Data!D113),Lookup_Tables!$G$6:$G$12,0)),"Unknown - Review"))</f>
        <v>Eastern</v>
      </c>
      <c r="E113" s="17" t="str">
        <f>IF(TRIM(Raw_Data!E113)="","Not Specified",IFERROR(INDEX(Lookup_Tables!$B$6:$B$18,MATCH(TRIM(Raw_Data!E113),Lookup_Tables!$A$6:$A$18,0)),"Unknown - Review"))</f>
        <v>Fuel &amp; Lubricants</v>
      </c>
      <c r="F113" s="17" t="str">
        <f>IF(TRIM(Raw_Data!F113)="","",TRIM(Raw_Data!F113))</f>
        <v>Hydraulic Fluid (20L)</v>
      </c>
      <c r="G113" s="17">
        <f>IF(Raw_Data!G113="","",IF(VALUE(Raw_Data!G113)&lt;=0,"Invalid",VALUE(Raw_Data!G113)))</f>
        <v>441</v>
      </c>
      <c r="H113" s="17" t="str">
        <f>IF(Raw_Data!H113="","",IF(VALUE(Raw_Data!H113)&lt;=0,"Invalid",VALUE(Raw_Data!H113)))</f>
        <v/>
      </c>
      <c r="I113" s="23">
        <f>IFERROR(VALUE(SUBSTITUTE(SUBSTITUTE(Raw_Data!I113,"₹",""),",","")),"")</f>
        <v>29176.86</v>
      </c>
      <c r="J113" s="17" t="str">
        <f>IF(TRIM(Raw_Data!J113)="","Not Specified",PROPER(TRIM(Raw_Data!J113)))</f>
        <v>High</v>
      </c>
      <c r="K113" s="17" t="str">
        <f>IF(TRIM(Raw_Data!K113)="","Not Specified",IFERROR(INDEX(Lookup_Tables!$E$6:$E$13,MATCH(TRIM(Raw_Data!K113),Lookup_Tables!$D$6:$D$13,0)),"Unknown - Review"))</f>
        <v>Pending</v>
      </c>
      <c r="L113" s="17" t="str">
        <f>IF(TRIM(Raw_Data!L113)="","",PROPER(TRIM(Raw_Data!L113)))</f>
        <v>Quartermaster</v>
      </c>
      <c r="M113" s="22" t="str">
        <f>IF(Raw_Data!M113="","",IF(ISNUMBER(Raw_Data!M113),Raw_Data!M113,IF(ISNUMBER(SEARCH("/",Raw_Data!M113)),IFERROR(DATE(VALUE(RIGHT(Raw_Data!M113,4)),VALUE(MID(Raw_Data!M113,4,2)),VALUE(LEFT(Raw_Data!M113,2))),"Invalid Date"),IFERROR(DATEVALUE(Raw_Data!M113),"Invalid Date"))))</f>
        <v/>
      </c>
      <c r="N113" s="22" t="str">
        <f>IF(Raw_Data!N113="","",IF(ISNUMBER(Raw_Data!N113),Raw_Data!N113,IF(ISNUMBER(SEARCH("/",Raw_Data!N113)),IFERROR(DATE(VALUE(RIGHT(Raw_Data!N113,4)),VALUE(MID(Raw_Data!N113,4,2)),VALUE(LEFT(Raw_Data!N113,2))),"Invalid Date"),IFERROR(DATEVALUE(Raw_Data!N113),"Invalid Date"))))</f>
        <v/>
      </c>
      <c r="O113" s="22" t="str">
        <f>IF(Raw_Data!O113="","",IF(ISNUMBER(Raw_Data!O113),Raw_Data!O113,IF(ISNUMBER(SEARCH("/",Raw_Data!O113)),IFERROR(DATE(VALUE(RIGHT(Raw_Data!O113,4)),VALUE(MID(Raw_Data!O113,4,2)),VALUE(LEFT(Raw_Data!O113,2))),"Invalid Date"),IFERROR(DATEVALUE(Raw_Data!O113),"Invalid Date"))))</f>
        <v/>
      </c>
      <c r="P113" s="17" t="str">
        <f>IF(OR(TRIM(Raw_Data!P113)="",TRIM(Raw_Data!P113)="N/A",TRIM(Raw_Data!P113)="TBD",TRIM(Raw_Data!P113)="-"),"Not Assigned",PROPER(TRIM(Raw_Data!P113)))</f>
        <v>Central Ordnance Suppliers</v>
      </c>
      <c r="Q113" s="24" t="str">
        <f t="shared" si="6"/>
        <v/>
      </c>
      <c r="R113" s="17" t="str">
        <f t="shared" si="7"/>
        <v/>
      </c>
      <c r="S113" s="17" t="str">
        <f>IF(COUNTIF($A$2:A113,A113)&gt;1,"Duplicate","Unique")</f>
        <v>Unique</v>
      </c>
      <c r="T113" s="17" t="str">
        <f t="shared" si="8"/>
        <v>No</v>
      </c>
      <c r="U113" s="17" t="str">
        <f t="shared" si="9"/>
        <v>No</v>
      </c>
      <c r="V113" s="17" t="str">
        <f t="shared" si="10"/>
        <v>Yes</v>
      </c>
      <c r="W113" s="17" t="str">
        <f t="shared" si="11"/>
        <v>Mar-2025</v>
      </c>
    </row>
    <row r="114" spans="1:23" x14ac:dyDescent="0.3">
      <c r="A114" s="17" t="str">
        <f>TRIM(Raw_Data!A114)</f>
        <v>REQ-2025-0113</v>
      </c>
      <c r="B114" s="22" t="str">
        <f>IF(Raw_Data!B114="","",IF(ISNUMBER(Raw_Data!B114),Raw_Data!B114,IF(ISNUMBER(SEARCH("/",Raw_Data!B114)),IFERROR(DATE(VALUE(RIGHT(Raw_Data!B114,4)),VALUE(MID(Raw_Data!B114,4,2)),VALUE(LEFT(Raw_Data!B114,2))),"Invalid Date"),IFERROR(DATEVALUE(Raw_Data!B114),"Invalid Date"))))</f>
        <v/>
      </c>
      <c r="C114" s="17" t="str">
        <f>IF(TRIM(Raw_Data!C114)="","",PROPER(TRIM(Raw_Data!C114)))</f>
        <v>Unit A - Infantry</v>
      </c>
      <c r="D114" s="17" t="str">
        <f>IF(TRIM(Raw_Data!D114)="","Not Specified",IFERROR(INDEX(Lookup_Tables!$H$6:$H$12,MATCH(TRIM(Raw_Data!D114),Lookup_Tables!$G$6:$G$12,0)),"Unknown - Review"))</f>
        <v>Southern</v>
      </c>
      <c r="E114" s="17" t="str">
        <f>IF(TRIM(Raw_Data!E114)="","Not Specified",IFERROR(INDEX(Lookup_Tables!$B$6:$B$18,MATCH(TRIM(Raw_Data!E114),Lookup_Tables!$A$6:$A$18,0)),"Unknown - Review"))</f>
        <v>Vehicle Spares</v>
      </c>
      <c r="F114" s="17" t="str">
        <f>IF(TRIM(Raw_Data!F114)="","",TRIM(Raw_Data!F114))</f>
        <v>Radiator Assembly</v>
      </c>
      <c r="G114" s="17">
        <f>IF(Raw_Data!G114="","",IF(VALUE(Raw_Data!G114)&lt;=0,"Invalid",VALUE(Raw_Data!G114)))</f>
        <v>317</v>
      </c>
      <c r="H114" s="17">
        <f>IF(Raw_Data!H114="","",IF(VALUE(Raw_Data!H114)&lt;=0,"Invalid",VALUE(Raw_Data!H114)))</f>
        <v>224</v>
      </c>
      <c r="I114" s="23">
        <f>IFERROR(VALUE(SUBSTITUTE(SUBSTITUTE(Raw_Data!I114,"₹",""),",","")),"")</f>
        <v>30848.22</v>
      </c>
      <c r="J114" s="17" t="str">
        <f>IF(TRIM(Raw_Data!J114)="","Not Specified",PROPER(TRIM(Raw_Data!J114)))</f>
        <v>Routine</v>
      </c>
      <c r="K114" s="17" t="str">
        <f>IF(TRIM(Raw_Data!K114)="","Not Specified",IFERROR(INDEX(Lookup_Tables!$E$6:$E$13,MATCH(TRIM(Raw_Data!K114),Lookup_Tables!$D$6:$D$13,0)),"Unknown - Review"))</f>
        <v>Dispatched</v>
      </c>
      <c r="L114" s="17" t="str">
        <f>IF(TRIM(Raw_Data!L114)="","",PROPER(TRIM(Raw_Data!L114)))</f>
        <v>Logistics Officer</v>
      </c>
      <c r="M114" s="22">
        <f>IF(Raw_Data!M114="","",IF(ISNUMBER(Raw_Data!M114),Raw_Data!M114,IF(ISNUMBER(SEARCH("/",Raw_Data!M114)),IFERROR(DATE(VALUE(RIGHT(Raw_Data!M114,4)),VALUE(MID(Raw_Data!M114,4,2)),VALUE(LEFT(Raw_Data!M114,2))),"Invalid Date"),IFERROR(DATEVALUE(Raw_Data!M114),"Invalid Date"))))</f>
        <v>45963</v>
      </c>
      <c r="N114" s="22">
        <f>IF(Raw_Data!N114="","",IF(ISNUMBER(Raw_Data!N114),Raw_Data!N114,IF(ISNUMBER(SEARCH("/",Raw_Data!N114)),IFERROR(DATE(VALUE(RIGHT(Raw_Data!N114,4)),VALUE(MID(Raw_Data!N114,4,2)),VALUE(LEFT(Raw_Data!N114,2))),"Invalid Date"),IFERROR(DATEVALUE(Raw_Data!N114),"Invalid Date"))))</f>
        <v>45983</v>
      </c>
      <c r="O114" s="22" t="str">
        <f>IF(Raw_Data!O114="","",IF(ISNUMBER(Raw_Data!O114),Raw_Data!O114,IF(ISNUMBER(SEARCH("/",Raw_Data!O114)),IFERROR(DATE(VALUE(RIGHT(Raw_Data!O114,4)),VALUE(MID(Raw_Data!O114,4,2)),VALUE(LEFT(Raw_Data!O114,2))),"Invalid Date"),IFERROR(DATEVALUE(Raw_Data!O114),"Invalid Date"))))</f>
        <v/>
      </c>
      <c r="P114" s="17" t="str">
        <f>IF(OR(TRIM(Raw_Data!P114)="",TRIM(Raw_Data!P114)="N/A",TRIM(Raw_Data!P114)="TBD",TRIM(Raw_Data!P114)="-"),"Not Assigned",PROPER(TRIM(Raw_Data!P114)))</f>
        <v>Central Ordnance Suppliers</v>
      </c>
      <c r="Q114" s="24">
        <f t="shared" si="6"/>
        <v>6910001.2800000003</v>
      </c>
      <c r="R114" s="17" t="str">
        <f t="shared" si="7"/>
        <v/>
      </c>
      <c r="S114" s="17" t="str">
        <f>IF(COUNTIF($A$2:A114,A114)&gt;1,"Duplicate","Unique")</f>
        <v>Unique</v>
      </c>
      <c r="T114" s="17" t="str">
        <f t="shared" si="8"/>
        <v>No</v>
      </c>
      <c r="U114" s="17" t="str">
        <f t="shared" si="9"/>
        <v>No</v>
      </c>
      <c r="V114" s="17" t="str">
        <f t="shared" si="10"/>
        <v>Yes</v>
      </c>
      <c r="W114" s="17" t="str">
        <f t="shared" si="11"/>
        <v/>
      </c>
    </row>
    <row r="115" spans="1:23" x14ac:dyDescent="0.3">
      <c r="A115" s="17" t="str">
        <f>TRIM(Raw_Data!A115)</f>
        <v>REQ-2025-0114</v>
      </c>
      <c r="B115" s="22">
        <f>IF(Raw_Data!B115="","",IF(ISNUMBER(Raw_Data!B115),Raw_Data!B115,IF(ISNUMBER(SEARCH("/",Raw_Data!B115)),IFERROR(DATE(VALUE(RIGHT(Raw_Data!B115,4)),VALUE(MID(Raw_Data!B115,4,2)),VALUE(LEFT(Raw_Data!B115,2))),"Invalid Date"),IFERROR(DATEVALUE(Raw_Data!B115),"Invalid Date"))))</f>
        <v>45943</v>
      </c>
      <c r="C115" s="17" t="str">
        <f>IF(TRIM(Raw_Data!C115)="","",PROPER(TRIM(Raw_Data!C115)))</f>
        <v>Unit D - Signals</v>
      </c>
      <c r="D115" s="17" t="str">
        <f>IF(TRIM(Raw_Data!D115)="","Not Specified",IFERROR(INDEX(Lookup_Tables!$H$6:$H$12,MATCH(TRIM(Raw_Data!D115),Lookup_Tables!$G$6:$G$12,0)),"Unknown - Review"))</f>
        <v>Western</v>
      </c>
      <c r="E115" s="17" t="str">
        <f>IF(TRIM(Raw_Data!E115)="","Not Specified",IFERROR(INDEX(Lookup_Tables!$B$6:$B$18,MATCH(TRIM(Raw_Data!E115),Lookup_Tables!$A$6:$A$18,0)),"Unknown - Review"))</f>
        <v>Construction Material</v>
      </c>
      <c r="F115" s="17" t="str">
        <f>IF(TRIM(Raw_Data!F115)="","",TRIM(Raw_Data!F115))</f>
        <v>Steel Rod Bundle</v>
      </c>
      <c r="G115" s="17">
        <f>IF(Raw_Data!G115="","",IF(VALUE(Raw_Data!G115)&lt;=0,"Invalid",VALUE(Raw_Data!G115)))</f>
        <v>334</v>
      </c>
      <c r="H115" s="17">
        <f>IF(Raw_Data!H115="","",IF(VALUE(Raw_Data!H115)&lt;=0,"Invalid",VALUE(Raw_Data!H115)))</f>
        <v>280</v>
      </c>
      <c r="I115" s="23">
        <f>IFERROR(VALUE(SUBSTITUTE(SUBSTITUTE(Raw_Data!I115,"₹",""),",","")),"")</f>
        <v>22388.2</v>
      </c>
      <c r="J115" s="17" t="str">
        <f>IF(TRIM(Raw_Data!J115)="","Not Specified",PROPER(TRIM(Raw_Data!J115)))</f>
        <v>High</v>
      </c>
      <c r="K115" s="17" t="str">
        <f>IF(TRIM(Raw_Data!K115)="","Not Specified",IFERROR(INDEX(Lookup_Tables!$E$6:$E$13,MATCH(TRIM(Raw_Data!K115),Lookup_Tables!$D$6:$D$13,0)),"Unknown - Review"))</f>
        <v>Delivered</v>
      </c>
      <c r="L115" s="17" t="str">
        <f>IF(TRIM(Raw_Data!L115)="","",PROPER(TRIM(Raw_Data!L115)))</f>
        <v>Quartermaster</v>
      </c>
      <c r="M115" s="22" t="str">
        <f>IF(Raw_Data!M115="","",IF(ISNUMBER(Raw_Data!M115),Raw_Data!M115,IF(ISNUMBER(SEARCH("/",Raw_Data!M115)),IFERROR(DATE(VALUE(RIGHT(Raw_Data!M115,4)),VALUE(MID(Raw_Data!M115,4,2)),VALUE(LEFT(Raw_Data!M115,2))),"Invalid Date"),IFERROR(DATEVALUE(Raw_Data!M115),"Invalid Date"))))</f>
        <v/>
      </c>
      <c r="N115" s="22">
        <f>IF(Raw_Data!N115="","",IF(ISNUMBER(Raw_Data!N115),Raw_Data!N115,IF(ISNUMBER(SEARCH("/",Raw_Data!N115)),IFERROR(DATE(VALUE(RIGHT(Raw_Data!N115,4)),VALUE(MID(Raw_Data!N115,4,2)),VALUE(LEFT(Raw_Data!N115,2))),"Invalid Date"),IFERROR(DATEVALUE(Raw_Data!N115),"Invalid Date"))))</f>
        <v>45953</v>
      </c>
      <c r="O115" s="22">
        <f>IF(Raw_Data!O115="","",IF(ISNUMBER(Raw_Data!O115),Raw_Data!O115,IF(ISNUMBER(SEARCH("/",Raw_Data!O115)),IFERROR(DATE(VALUE(RIGHT(Raw_Data!O115,4)),VALUE(MID(Raw_Data!O115,4,2)),VALUE(LEFT(Raw_Data!O115,2))),"Invalid Date"),IFERROR(DATEVALUE(Raw_Data!O115),"Invalid Date"))))</f>
        <v>45972</v>
      </c>
      <c r="P115" s="17" t="str">
        <f>IF(OR(TRIM(Raw_Data!P115)="",TRIM(Raw_Data!P115)="N/A",TRIM(Raw_Data!P115)="TBD",TRIM(Raw_Data!P115)="-"),"Not Assigned",PROPER(TRIM(Raw_Data!P115)))</f>
        <v>Not Assigned</v>
      </c>
      <c r="Q115" s="24">
        <f t="shared" si="6"/>
        <v>6268696</v>
      </c>
      <c r="R115" s="17">
        <f t="shared" si="7"/>
        <v>19</v>
      </c>
      <c r="S115" s="17" t="str">
        <f>IF(COUNTIF($A$2:A115,A115)&gt;1,"Duplicate","Unique")</f>
        <v>Unique</v>
      </c>
      <c r="T115" s="17" t="str">
        <f t="shared" si="8"/>
        <v>No</v>
      </c>
      <c r="U115" s="17" t="str">
        <f t="shared" si="9"/>
        <v>No</v>
      </c>
      <c r="V115" s="17" t="str">
        <f t="shared" si="10"/>
        <v>Yes</v>
      </c>
      <c r="W115" s="17" t="str">
        <f t="shared" si="11"/>
        <v>Oct-2025</v>
      </c>
    </row>
    <row r="116" spans="1:23" x14ac:dyDescent="0.3">
      <c r="A116" s="17" t="str">
        <f>TRIM(Raw_Data!A116)</f>
        <v>REQ-2025-0115</v>
      </c>
      <c r="B116" s="22">
        <f>IF(Raw_Data!B116="","",IF(ISNUMBER(Raw_Data!B116),Raw_Data!B116,IF(ISNUMBER(SEARCH("/",Raw_Data!B116)),IFERROR(DATE(VALUE(RIGHT(Raw_Data!B116,4)),VALUE(MID(Raw_Data!B116,4,2)),VALUE(LEFT(Raw_Data!B116,2))),"Invalid Date"),IFERROR(DATEVALUE(Raw_Data!B116),"Invalid Date"))))</f>
        <v>45967</v>
      </c>
      <c r="C116" s="17" t="str">
        <f>IF(TRIM(Raw_Data!C116)="","",PROPER(TRIM(Raw_Data!C116)))</f>
        <v>Unit A - Infantry</v>
      </c>
      <c r="D116" s="17" t="str">
        <f>IF(TRIM(Raw_Data!D116)="","Not Specified",IFERROR(INDEX(Lookup_Tables!$H$6:$H$12,MATCH(TRIM(Raw_Data!D116),Lookup_Tables!$G$6:$G$12,0)),"Unknown - Review"))</f>
        <v>Northern</v>
      </c>
      <c r="E116" s="17" t="str">
        <f>IF(TRIM(Raw_Data!E116)="","Not Specified",IFERROR(INDEX(Lookup_Tables!$B$6:$B$18,MATCH(TRIM(Raw_Data!E116),Lookup_Tables!$A$6:$A$18,0)),"Unknown - Review"))</f>
        <v>Rations</v>
      </c>
      <c r="F116" s="17" t="str">
        <f>IF(TRIM(Raw_Data!F116)="","",TRIM(Raw_Data!F116))</f>
        <v>Dry Ration Pack</v>
      </c>
      <c r="G116" s="17">
        <f>IF(Raw_Data!G116="","",IF(VALUE(Raw_Data!G116)&lt;=0,"Invalid",VALUE(Raw_Data!G116)))</f>
        <v>340</v>
      </c>
      <c r="H116" s="17">
        <f>IF(Raw_Data!H116="","",IF(VALUE(Raw_Data!H116)&lt;=0,"Invalid",VALUE(Raw_Data!H116)))</f>
        <v>275</v>
      </c>
      <c r="I116" s="23">
        <f>IFERROR(VALUE(SUBSTITUTE(SUBSTITUTE(Raw_Data!I116,"₹",""),",","")),"")</f>
        <v>2584.2399999999998</v>
      </c>
      <c r="J116" s="17" t="str">
        <f>IF(TRIM(Raw_Data!J116)="","Not Specified",PROPER(TRIM(Raw_Data!J116)))</f>
        <v>Low</v>
      </c>
      <c r="K116" s="17" t="str">
        <f>IF(TRIM(Raw_Data!K116)="","Not Specified",IFERROR(INDEX(Lookup_Tables!$E$6:$E$13,MATCH(TRIM(Raw_Data!K116),Lookup_Tables!$D$6:$D$13,0)),"Unknown - Review"))</f>
        <v>Delivered</v>
      </c>
      <c r="L116" s="17" t="str">
        <f>IF(TRIM(Raw_Data!L116)="","",PROPER(TRIM(Raw_Data!L116)))</f>
        <v>Logistics Officer</v>
      </c>
      <c r="M116" s="22">
        <f>IF(Raw_Data!M116="","",IF(ISNUMBER(Raw_Data!M116),Raw_Data!M116,IF(ISNUMBER(SEARCH("/",Raw_Data!M116)),IFERROR(DATE(VALUE(RIGHT(Raw_Data!M116,4)),VALUE(MID(Raw_Data!M116,4,2)),VALUE(LEFT(Raw_Data!M116,2))),"Invalid Date"),IFERROR(DATEVALUE(Raw_Data!M116),"Invalid Date"))))</f>
        <v>45971</v>
      </c>
      <c r="N116" s="22">
        <f>IF(Raw_Data!N116="","",IF(ISNUMBER(Raw_Data!N116),Raw_Data!N116,IF(ISNUMBER(SEARCH("/",Raw_Data!N116)),IFERROR(DATE(VALUE(RIGHT(Raw_Data!N116,4)),VALUE(MID(Raw_Data!N116,4,2)),VALUE(LEFT(Raw_Data!N116,2))),"Invalid Date"),IFERROR(DATEVALUE(Raw_Data!N116),"Invalid Date"))))</f>
        <v>45990</v>
      </c>
      <c r="O116" s="22">
        <f>IF(Raw_Data!O116="","",IF(ISNUMBER(Raw_Data!O116),Raw_Data!O116,IF(ISNUMBER(SEARCH("/",Raw_Data!O116)),IFERROR(DATE(VALUE(RIGHT(Raw_Data!O116,4)),VALUE(MID(Raw_Data!O116,4,2)),VALUE(LEFT(Raw_Data!O116,2))),"Invalid Date"),IFERROR(DATEVALUE(Raw_Data!O116),"Invalid Date"))))</f>
        <v>45995</v>
      </c>
      <c r="P116" s="17" t="str">
        <f>IF(OR(TRIM(Raw_Data!P116)="",TRIM(Raw_Data!P116)="N/A",TRIM(Raw_Data!P116)="TBD",TRIM(Raw_Data!P116)="-"),"Not Assigned",PROPER(TRIM(Raw_Data!P116)))</f>
        <v>Central Ordnance Suppliers</v>
      </c>
      <c r="Q116" s="24">
        <f t="shared" si="6"/>
        <v>710665.99999999988</v>
      </c>
      <c r="R116" s="17">
        <f t="shared" si="7"/>
        <v>5</v>
      </c>
      <c r="S116" s="17" t="str">
        <f>IF(COUNTIF($A$2:A116,A116)&gt;1,"Duplicate","Unique")</f>
        <v>Unique</v>
      </c>
      <c r="T116" s="17" t="str">
        <f t="shared" si="8"/>
        <v>No</v>
      </c>
      <c r="U116" s="17" t="str">
        <f t="shared" si="9"/>
        <v>No</v>
      </c>
      <c r="V116" s="17" t="str">
        <f t="shared" si="10"/>
        <v>Yes</v>
      </c>
      <c r="W116" s="17" t="str">
        <f t="shared" si="11"/>
        <v>Nov-2025</v>
      </c>
    </row>
    <row r="117" spans="1:23" x14ac:dyDescent="0.3">
      <c r="A117" s="17" t="str">
        <f>TRIM(Raw_Data!A117)</f>
        <v>REQ-2025-0116</v>
      </c>
      <c r="B117" s="22">
        <f>IF(Raw_Data!B117="","",IF(ISNUMBER(Raw_Data!B117),Raw_Data!B117,IF(ISNUMBER(SEARCH("/",Raw_Data!B117)),IFERROR(DATE(VALUE(RIGHT(Raw_Data!B117,4)),VALUE(MID(Raw_Data!B117,4,2)),VALUE(LEFT(Raw_Data!B117,2))),"Invalid Date"),IFERROR(DATEVALUE(Raw_Data!B117),"Invalid Date"))))</f>
        <v>45892</v>
      </c>
      <c r="C117" s="17" t="str">
        <f>IF(TRIM(Raw_Data!C117)="","",PROPER(TRIM(Raw_Data!C117)))</f>
        <v>Unit D - Signals</v>
      </c>
      <c r="D117" s="17" t="str">
        <f>IF(TRIM(Raw_Data!D117)="","Not Specified",IFERROR(INDEX(Lookup_Tables!$H$6:$H$12,MATCH(TRIM(Raw_Data!D117),Lookup_Tables!$G$6:$G$12,0)),"Unknown - Review"))</f>
        <v>Western</v>
      </c>
      <c r="E117" s="17" t="str">
        <f>IF(TRIM(Raw_Data!E117)="","Not Specified",IFERROR(INDEX(Lookup_Tables!$B$6:$B$18,MATCH(TRIM(Raw_Data!E117),Lookup_Tables!$A$6:$A$18,0)),"Unknown - Review"))</f>
        <v>Construction Material</v>
      </c>
      <c r="F117" s="17" t="str">
        <f>IF(TRIM(Raw_Data!F117)="","",TRIM(Raw_Data!F117))</f>
        <v>Steel Rod Bundle</v>
      </c>
      <c r="G117" s="17">
        <f>IF(Raw_Data!G117="","",IF(VALUE(Raw_Data!G117)&lt;=0,"Invalid",VALUE(Raw_Data!G117)))</f>
        <v>60</v>
      </c>
      <c r="H117" s="17">
        <f>IF(Raw_Data!H117="","",IF(VALUE(Raw_Data!H117)&lt;=0,"Invalid",VALUE(Raw_Data!H117)))</f>
        <v>77</v>
      </c>
      <c r="I117" s="23">
        <f>IFERROR(VALUE(SUBSTITUTE(SUBSTITUTE(Raw_Data!I117,"₹",""),",","")),"")</f>
        <v>30295.56</v>
      </c>
      <c r="J117" s="17" t="str">
        <f>IF(TRIM(Raw_Data!J117)="","Not Specified",PROPER(TRIM(Raw_Data!J117)))</f>
        <v>Medium</v>
      </c>
      <c r="K117" s="17" t="str">
        <f>IF(TRIM(Raw_Data!K117)="","Not Specified",IFERROR(INDEX(Lookup_Tables!$E$6:$E$13,MATCH(TRIM(Raw_Data!K117),Lookup_Tables!$D$6:$D$13,0)),"Unknown - Review"))</f>
        <v>Delivered</v>
      </c>
      <c r="L117" s="17" t="str">
        <f>IF(TRIM(Raw_Data!L117)="","",PROPER(TRIM(Raw_Data!L117)))</f>
        <v>Stores Officer</v>
      </c>
      <c r="M117" s="22">
        <f>IF(Raw_Data!M117="","",IF(ISNUMBER(Raw_Data!M117),Raw_Data!M117,IF(ISNUMBER(SEARCH("/",Raw_Data!M117)),IFERROR(DATE(VALUE(RIGHT(Raw_Data!M117,4)),VALUE(MID(Raw_Data!M117,4,2)),VALUE(LEFT(Raw_Data!M117,2))),"Invalid Date"),IFERROR(DATEVALUE(Raw_Data!M117),"Invalid Date"))))</f>
        <v>45894</v>
      </c>
      <c r="N117" s="22" t="str">
        <f>IF(Raw_Data!N117="","",IF(ISNUMBER(Raw_Data!N117),Raw_Data!N117,IF(ISNUMBER(SEARCH("/",Raw_Data!N117)),IFERROR(DATE(VALUE(RIGHT(Raw_Data!N117,4)),VALUE(MID(Raw_Data!N117,4,2)),VALUE(LEFT(Raw_Data!N117,2))),"Invalid Date"),IFERROR(DATEVALUE(Raw_Data!N117),"Invalid Date"))))</f>
        <v/>
      </c>
      <c r="O117" s="22">
        <f>IF(Raw_Data!O117="","",IF(ISNUMBER(Raw_Data!O117),Raw_Data!O117,IF(ISNUMBER(SEARCH("/",Raw_Data!O117)),IFERROR(DATE(VALUE(RIGHT(Raw_Data!O117,4)),VALUE(MID(Raw_Data!O117,4,2)),VALUE(LEFT(Raw_Data!O117,2))),"Invalid Date"),IFERROR(DATEVALUE(Raw_Data!O117),"Invalid Date"))))</f>
        <v>45932</v>
      </c>
      <c r="P117" s="17" t="str">
        <f>IF(OR(TRIM(Raw_Data!P117)="",TRIM(Raw_Data!P117)="N/A",TRIM(Raw_Data!P117)="TBD",TRIM(Raw_Data!P117)="-"),"Not Assigned",PROPER(TRIM(Raw_Data!P117)))</f>
        <v>Central Ordnance Suppliers</v>
      </c>
      <c r="Q117" s="24">
        <f t="shared" si="6"/>
        <v>2332758.12</v>
      </c>
      <c r="R117" s="17" t="str">
        <f t="shared" si="7"/>
        <v/>
      </c>
      <c r="S117" s="17" t="str">
        <f>IF(COUNTIF($A$2:A117,A117)&gt;1,"Duplicate","Unique")</f>
        <v>Unique</v>
      </c>
      <c r="T117" s="17" t="str">
        <f t="shared" si="8"/>
        <v>No</v>
      </c>
      <c r="U117" s="17" t="str">
        <f t="shared" si="9"/>
        <v>Yes</v>
      </c>
      <c r="V117" s="17" t="str">
        <f t="shared" si="10"/>
        <v>No</v>
      </c>
      <c r="W117" s="17" t="str">
        <f t="shared" si="11"/>
        <v>Aug-2025</v>
      </c>
    </row>
    <row r="118" spans="1:23" x14ac:dyDescent="0.3">
      <c r="A118" s="17" t="str">
        <f>TRIM(Raw_Data!A118)</f>
        <v>REQ-2025-0117</v>
      </c>
      <c r="B118" s="22">
        <f>IF(Raw_Data!B118="","",IF(ISNUMBER(Raw_Data!B118),Raw_Data!B118,IF(ISNUMBER(SEARCH("/",Raw_Data!B118)),IFERROR(DATE(VALUE(RIGHT(Raw_Data!B118,4)),VALUE(MID(Raw_Data!B118,4,2)),VALUE(LEFT(Raw_Data!B118,2))),"Invalid Date"),IFERROR(DATEVALUE(Raw_Data!B118),"Invalid Date"))))</f>
        <v>45861</v>
      </c>
      <c r="C118" s="17" t="str">
        <f>IF(TRIM(Raw_Data!C118)="","",PROPER(TRIM(Raw_Data!C118)))</f>
        <v>Unit G - Transport Corps</v>
      </c>
      <c r="D118" s="17" t="str">
        <f>IF(TRIM(Raw_Data!D118)="","Not Specified",IFERROR(INDEX(Lookup_Tables!$H$6:$H$12,MATCH(TRIM(Raw_Data!D118),Lookup_Tables!$G$6:$G$12,0)),"Unknown - Review"))</f>
        <v>Southern</v>
      </c>
      <c r="E118" s="17" t="str">
        <f>IF(TRIM(Raw_Data!E118)="","Not Specified",IFERROR(INDEX(Lookup_Tables!$B$6:$B$18,MATCH(TRIM(Raw_Data!E118),Lookup_Tables!$A$6:$A$18,0)),"Unknown - Review"))</f>
        <v>Medical Supplies</v>
      </c>
      <c r="F118" s="17" t="str">
        <f>IF(TRIM(Raw_Data!F118)="","",TRIM(Raw_Data!F118))</f>
        <v>Bandage Roll (Pack)</v>
      </c>
      <c r="G118" s="17">
        <f>IF(Raw_Data!G118="","",IF(VALUE(Raw_Data!G118)&lt;=0,"Invalid",VALUE(Raw_Data!G118)))</f>
        <v>417</v>
      </c>
      <c r="H118" s="17">
        <f>IF(Raw_Data!H118="","",IF(VALUE(Raw_Data!H118)&lt;=0,"Invalid",VALUE(Raw_Data!H118)))</f>
        <v>379</v>
      </c>
      <c r="I118" s="23">
        <f>IFERROR(VALUE(SUBSTITUTE(SUBSTITUTE(Raw_Data!I118,"₹",""),",","")),"")</f>
        <v>33717</v>
      </c>
      <c r="J118" s="17" t="str">
        <f>IF(TRIM(Raw_Data!J118)="","Not Specified",PROPER(TRIM(Raw_Data!J118)))</f>
        <v>Low</v>
      </c>
      <c r="K118" s="17" t="str">
        <f>IF(TRIM(Raw_Data!K118)="","Not Specified",IFERROR(INDEX(Lookup_Tables!$E$6:$E$13,MATCH(TRIM(Raw_Data!K118),Lookup_Tables!$D$6:$D$13,0)),"Unknown - Review"))</f>
        <v>Delivered</v>
      </c>
      <c r="L118" s="17" t="str">
        <f>IF(TRIM(Raw_Data!L118)="","",PROPER(TRIM(Raw_Data!L118)))</f>
        <v>Unit Commander</v>
      </c>
      <c r="M118" s="22">
        <f>IF(Raw_Data!M118="","",IF(ISNUMBER(Raw_Data!M118),Raw_Data!M118,IF(ISNUMBER(SEARCH("/",Raw_Data!M118)),IFERROR(DATE(VALUE(RIGHT(Raw_Data!M118,4)),VALUE(MID(Raw_Data!M118,4,2)),VALUE(LEFT(Raw_Data!M118,2))),"Invalid Date"),IFERROR(DATEVALUE(Raw_Data!M118),"Invalid Date"))))</f>
        <v>45866</v>
      </c>
      <c r="N118" s="22" t="str">
        <f>IF(Raw_Data!N118="","",IF(ISNUMBER(Raw_Data!N118),Raw_Data!N118,IF(ISNUMBER(SEARCH("/",Raw_Data!N118)),IFERROR(DATE(VALUE(RIGHT(Raw_Data!N118,4)),VALUE(MID(Raw_Data!N118,4,2)),VALUE(LEFT(Raw_Data!N118,2))),"Invalid Date"),IFERROR(DATEVALUE(Raw_Data!N118),"Invalid Date"))))</f>
        <v/>
      </c>
      <c r="O118" s="22">
        <f>IF(Raw_Data!O118="","",IF(ISNUMBER(Raw_Data!O118),Raw_Data!O118,IF(ISNUMBER(SEARCH("/",Raw_Data!O118)),IFERROR(DATE(VALUE(RIGHT(Raw_Data!O118,4)),VALUE(MID(Raw_Data!O118,4,2)),VALUE(LEFT(Raw_Data!O118,2))),"Invalid Date"),IFERROR(DATEVALUE(Raw_Data!O118),"Invalid Date"))))</f>
        <v>45905</v>
      </c>
      <c r="P118" s="17" t="str">
        <f>IF(OR(TRIM(Raw_Data!P118)="",TRIM(Raw_Data!P118)="N/A",TRIM(Raw_Data!P118)="TBD",TRIM(Raw_Data!P118)="-"),"Not Assigned",PROPER(TRIM(Raw_Data!P118)))</f>
        <v>Om Suppliers</v>
      </c>
      <c r="Q118" s="24">
        <f t="shared" si="6"/>
        <v>12778743</v>
      </c>
      <c r="R118" s="17" t="str">
        <f t="shared" si="7"/>
        <v/>
      </c>
      <c r="S118" s="17" t="str">
        <f>IF(COUNTIF($A$2:A118,A118)&gt;1,"Duplicate","Unique")</f>
        <v>Unique</v>
      </c>
      <c r="T118" s="17" t="str">
        <f t="shared" si="8"/>
        <v>No</v>
      </c>
      <c r="U118" s="17" t="str">
        <f t="shared" si="9"/>
        <v>No</v>
      </c>
      <c r="V118" s="17" t="str">
        <f t="shared" si="10"/>
        <v>Yes</v>
      </c>
      <c r="W118" s="17" t="str">
        <f t="shared" si="11"/>
        <v>Jul-2025</v>
      </c>
    </row>
    <row r="119" spans="1:23" x14ac:dyDescent="0.3">
      <c r="A119" s="17" t="str">
        <f>TRIM(Raw_Data!A119)</f>
        <v>REQ-2025-0118</v>
      </c>
      <c r="B119" s="22" t="str">
        <f>IF(Raw_Data!B119="","",IF(ISNUMBER(Raw_Data!B119),Raw_Data!B119,IF(ISNUMBER(SEARCH("/",Raw_Data!B119)),IFERROR(DATE(VALUE(RIGHT(Raw_Data!B119,4)),VALUE(MID(Raw_Data!B119,4,2)),VALUE(LEFT(Raw_Data!B119,2))),"Invalid Date"),IFERROR(DATEVALUE(Raw_Data!B119),"Invalid Date"))))</f>
        <v/>
      </c>
      <c r="C119" s="17" t="str">
        <f>IF(TRIM(Raw_Data!C119)="","",PROPER(TRIM(Raw_Data!C119)))</f>
        <v>Unit G - Transport Corps</v>
      </c>
      <c r="D119" s="17" t="str">
        <f>IF(TRIM(Raw_Data!D119)="","Not Specified",IFERROR(INDEX(Lookup_Tables!$H$6:$H$12,MATCH(TRIM(Raw_Data!D119),Lookup_Tables!$G$6:$G$12,0)),"Unknown - Review"))</f>
        <v>Southern</v>
      </c>
      <c r="E119" s="17" t="str">
        <f>IF(TRIM(Raw_Data!E119)="","Not Specified",IFERROR(INDEX(Lookup_Tables!$B$6:$B$18,MATCH(TRIM(Raw_Data!E119),Lookup_Tables!$A$6:$A$18,0)),"Unknown - Review"))</f>
        <v>Tents &amp; Shelter</v>
      </c>
      <c r="F119" s="17" t="str">
        <f>IF(TRIM(Raw_Data!F119)="","",TRIM(Raw_Data!F119))</f>
        <v>Camouflage Net</v>
      </c>
      <c r="G119" s="17">
        <f>IF(Raw_Data!G119="","",IF(VALUE(Raw_Data!G119)&lt;=0,"Invalid",VALUE(Raw_Data!G119)))</f>
        <v>200</v>
      </c>
      <c r="H119" s="17">
        <f>IF(Raw_Data!H119="","",IF(VALUE(Raw_Data!H119)&lt;=0,"Invalid",VALUE(Raw_Data!H119)))</f>
        <v>151</v>
      </c>
      <c r="I119" s="23">
        <f>IFERROR(VALUE(SUBSTITUTE(SUBSTITUTE(Raw_Data!I119,"₹",""),",","")),"")</f>
        <v>33795.800000000003</v>
      </c>
      <c r="J119" s="17" t="str">
        <f>IF(TRIM(Raw_Data!J119)="","Not Specified",PROPER(TRIM(Raw_Data!J119)))</f>
        <v>High</v>
      </c>
      <c r="K119" s="17" t="str">
        <f>IF(TRIM(Raw_Data!K119)="","Not Specified",IFERROR(INDEX(Lookup_Tables!$E$6:$E$13,MATCH(TRIM(Raw_Data!K119),Lookup_Tables!$D$6:$D$13,0)),"Unknown - Review"))</f>
        <v>Delivered</v>
      </c>
      <c r="L119" s="17" t="str">
        <f>IF(TRIM(Raw_Data!L119)="","",PROPER(TRIM(Raw_Data!L119)))</f>
        <v>Quartermaster</v>
      </c>
      <c r="M119" s="22">
        <f>IF(Raw_Data!M119="","",IF(ISNUMBER(Raw_Data!M119),Raw_Data!M119,IF(ISNUMBER(SEARCH("/",Raw_Data!M119)),IFERROR(DATE(VALUE(RIGHT(Raw_Data!M119,4)),VALUE(MID(Raw_Data!M119,4,2)),VALUE(LEFT(Raw_Data!M119,2))),"Invalid Date"),IFERROR(DATEVALUE(Raw_Data!M119),"Invalid Date"))))</f>
        <v>45877</v>
      </c>
      <c r="N119" s="22">
        <f>IF(Raw_Data!N119="","",IF(ISNUMBER(Raw_Data!N119),Raw_Data!N119,IF(ISNUMBER(SEARCH("/",Raw_Data!N119)),IFERROR(DATE(VALUE(RIGHT(Raw_Data!N119,4)),VALUE(MID(Raw_Data!N119,4,2)),VALUE(LEFT(Raw_Data!N119,2))),"Invalid Date"),IFERROR(DATEVALUE(Raw_Data!N119),"Invalid Date"))))</f>
        <v>45891</v>
      </c>
      <c r="O119" s="22">
        <f>IF(Raw_Data!O119="","",IF(ISNUMBER(Raw_Data!O119),Raw_Data!O119,IF(ISNUMBER(SEARCH("/",Raw_Data!O119)),IFERROR(DATE(VALUE(RIGHT(Raw_Data!O119,4)),VALUE(MID(Raw_Data!O119,4,2)),VALUE(LEFT(Raw_Data!O119,2))),"Invalid Date"),IFERROR(DATEVALUE(Raw_Data!O119),"Invalid Date"))))</f>
        <v>45907</v>
      </c>
      <c r="P119" s="17" t="str">
        <f>IF(OR(TRIM(Raw_Data!P119)="",TRIM(Raw_Data!P119)="N/A",TRIM(Raw_Data!P119)="TBD",TRIM(Raw_Data!P119)="-"),"Not Assigned",PROPER(TRIM(Raw_Data!P119)))</f>
        <v>Shakti Traders</v>
      </c>
      <c r="Q119" s="24">
        <f t="shared" si="6"/>
        <v>5103165.8000000007</v>
      </c>
      <c r="R119" s="17">
        <f t="shared" si="7"/>
        <v>16</v>
      </c>
      <c r="S119" s="17" t="str">
        <f>IF(COUNTIF($A$2:A119,A119)&gt;1,"Duplicate","Unique")</f>
        <v>Unique</v>
      </c>
      <c r="T119" s="17" t="str">
        <f t="shared" si="8"/>
        <v>No</v>
      </c>
      <c r="U119" s="17" t="str">
        <f t="shared" si="9"/>
        <v>No</v>
      </c>
      <c r="V119" s="17" t="str">
        <f t="shared" si="10"/>
        <v>Yes</v>
      </c>
      <c r="W119" s="17" t="str">
        <f t="shared" si="11"/>
        <v/>
      </c>
    </row>
    <row r="120" spans="1:23" x14ac:dyDescent="0.3">
      <c r="A120" s="17" t="str">
        <f>TRIM(Raw_Data!A120)</f>
        <v>REQ-2025-0119</v>
      </c>
      <c r="B120" s="22">
        <f>IF(Raw_Data!B120="","",IF(ISNUMBER(Raw_Data!B120),Raw_Data!B120,IF(ISNUMBER(SEARCH("/",Raw_Data!B120)),IFERROR(DATE(VALUE(RIGHT(Raw_Data!B120,4)),VALUE(MID(Raw_Data!B120,4,2)),VALUE(LEFT(Raw_Data!B120,2))),"Invalid Date"),IFERROR(DATEVALUE(Raw_Data!B120),"Invalid Date"))))</f>
        <v>45685</v>
      </c>
      <c r="C120" s="17" t="str">
        <f>IF(TRIM(Raw_Data!C120)="","",PROPER(TRIM(Raw_Data!C120)))</f>
        <v>Unit G - Transport Corps</v>
      </c>
      <c r="D120" s="17" t="str">
        <f>IF(TRIM(Raw_Data!D120)="","Not Specified",IFERROR(INDEX(Lookup_Tables!$H$6:$H$12,MATCH(TRIM(Raw_Data!D120),Lookup_Tables!$G$6:$G$12,0)),"Unknown - Review"))</f>
        <v>Southern</v>
      </c>
      <c r="E120" s="17" t="str">
        <f>IF(TRIM(Raw_Data!E120)="","Not Specified",IFERROR(INDEX(Lookup_Tables!$B$6:$B$18,MATCH(TRIM(Raw_Data!E120),Lookup_Tables!$A$6:$A$18,0)),"Unknown - Review"))</f>
        <v>Fuel &amp; Lubricants</v>
      </c>
      <c r="F120" s="17" t="str">
        <f>IF(TRIM(Raw_Data!F120)="","",TRIM(Raw_Data!F120))</f>
        <v>Kerosene (Drum 200L)</v>
      </c>
      <c r="G120" s="17">
        <f>IF(Raw_Data!G120="","",IF(VALUE(Raw_Data!G120)&lt;=0,"Invalid",VALUE(Raw_Data!G120)))</f>
        <v>322</v>
      </c>
      <c r="H120" s="17" t="str">
        <f>IF(Raw_Data!H120="","",IF(VALUE(Raw_Data!H120)&lt;=0,"Invalid",VALUE(Raw_Data!H120)))</f>
        <v/>
      </c>
      <c r="I120" s="23">
        <f>IFERROR(VALUE(SUBSTITUTE(SUBSTITUTE(Raw_Data!I120,"₹",""),",","")),"")</f>
        <v>38740.949999999997</v>
      </c>
      <c r="J120" s="17" t="str">
        <f>IF(TRIM(Raw_Data!J120)="","Not Specified",PROPER(TRIM(Raw_Data!J120)))</f>
        <v>Low</v>
      </c>
      <c r="K120" s="17" t="str">
        <f>IF(TRIM(Raw_Data!K120)="","Not Specified",IFERROR(INDEX(Lookup_Tables!$E$6:$E$13,MATCH(TRIM(Raw_Data!K120),Lookup_Tables!$D$6:$D$13,0)),"Unknown - Review"))</f>
        <v>Pending</v>
      </c>
      <c r="L120" s="17" t="str">
        <f>IF(TRIM(Raw_Data!L120)="","",PROPER(TRIM(Raw_Data!L120)))</f>
        <v>Logistics Officer</v>
      </c>
      <c r="M120" s="22" t="str">
        <f>IF(Raw_Data!M120="","",IF(ISNUMBER(Raw_Data!M120),Raw_Data!M120,IF(ISNUMBER(SEARCH("/",Raw_Data!M120)),IFERROR(DATE(VALUE(RIGHT(Raw_Data!M120,4)),VALUE(MID(Raw_Data!M120,4,2)),VALUE(LEFT(Raw_Data!M120,2))),"Invalid Date"),IFERROR(DATEVALUE(Raw_Data!M120),"Invalid Date"))))</f>
        <v/>
      </c>
      <c r="N120" s="22" t="str">
        <f>IF(Raw_Data!N120="","",IF(ISNUMBER(Raw_Data!N120),Raw_Data!N120,IF(ISNUMBER(SEARCH("/",Raw_Data!N120)),IFERROR(DATE(VALUE(RIGHT(Raw_Data!N120,4)),VALUE(MID(Raw_Data!N120,4,2)),VALUE(LEFT(Raw_Data!N120,2))),"Invalid Date"),IFERROR(DATEVALUE(Raw_Data!N120),"Invalid Date"))))</f>
        <v/>
      </c>
      <c r="O120" s="22" t="str">
        <f>IF(Raw_Data!O120="","",IF(ISNUMBER(Raw_Data!O120),Raw_Data!O120,IF(ISNUMBER(SEARCH("/",Raw_Data!O120)),IFERROR(DATE(VALUE(RIGHT(Raw_Data!O120,4)),VALUE(MID(Raw_Data!O120,4,2)),VALUE(LEFT(Raw_Data!O120,2))),"Invalid Date"),IFERROR(DATEVALUE(Raw_Data!O120),"Invalid Date"))))</f>
        <v/>
      </c>
      <c r="P120" s="17" t="str">
        <f>IF(OR(TRIM(Raw_Data!P120)="",TRIM(Raw_Data!P120)="N/A",TRIM(Raw_Data!P120)="TBD",TRIM(Raw_Data!P120)="-"),"Not Assigned",PROPER(TRIM(Raw_Data!P120)))</f>
        <v>Vikram Enterprises</v>
      </c>
      <c r="Q120" s="24" t="str">
        <f t="shared" si="6"/>
        <v/>
      </c>
      <c r="R120" s="17" t="str">
        <f t="shared" si="7"/>
        <v/>
      </c>
      <c r="S120" s="17" t="str">
        <f>IF(COUNTIF($A$2:A120,A120)&gt;1,"Duplicate","Unique")</f>
        <v>Unique</v>
      </c>
      <c r="T120" s="17" t="str">
        <f t="shared" si="8"/>
        <v>No</v>
      </c>
      <c r="U120" s="17" t="str">
        <f t="shared" si="9"/>
        <v>No</v>
      </c>
      <c r="V120" s="17" t="str">
        <f t="shared" si="10"/>
        <v>Yes</v>
      </c>
      <c r="W120" s="17" t="str">
        <f t="shared" si="11"/>
        <v>Jan-2025</v>
      </c>
    </row>
    <row r="121" spans="1:23" x14ac:dyDescent="0.3">
      <c r="A121" s="17" t="str">
        <f>TRIM(Raw_Data!A121)</f>
        <v>REQ-2025-0120</v>
      </c>
      <c r="B121" s="22">
        <f>IF(Raw_Data!B121="","",IF(ISNUMBER(Raw_Data!B121),Raw_Data!B121,IF(ISNUMBER(SEARCH("/",Raw_Data!B121)),IFERROR(DATE(VALUE(RIGHT(Raw_Data!B121,4)),VALUE(MID(Raw_Data!B121,4,2)),VALUE(LEFT(Raw_Data!B121,2))),"Invalid Date"),IFERROR(DATEVALUE(Raw_Data!B121),"Invalid Date"))))</f>
        <v>45740</v>
      </c>
      <c r="C121" s="17" t="str">
        <f>IF(TRIM(Raw_Data!C121)="","",PROPER(TRIM(Raw_Data!C121)))</f>
        <v>Unit G - Transport Corps</v>
      </c>
      <c r="D121" s="17" t="str">
        <f>IF(TRIM(Raw_Data!D121)="","Not Specified",IFERROR(INDEX(Lookup_Tables!$H$6:$H$12,MATCH(TRIM(Raw_Data!D121),Lookup_Tables!$G$6:$G$12,0)),"Unknown - Review"))</f>
        <v>Southern</v>
      </c>
      <c r="E121" s="17" t="str">
        <f>IF(TRIM(Raw_Data!E121)="","Not Specified",IFERROR(INDEX(Lookup_Tables!$B$6:$B$18,MATCH(TRIM(Raw_Data!E121),Lookup_Tables!$A$6:$A$18,0)),"Unknown - Review"))</f>
        <v>Communication Equipment</v>
      </c>
      <c r="F121" s="17" t="str">
        <f>IF(TRIM(Raw_Data!F121)="","",TRIM(Raw_Data!F121))</f>
        <v>Signal Cable (100m)</v>
      </c>
      <c r="G121" s="17">
        <f>IF(Raw_Data!G121="","",IF(VALUE(Raw_Data!G121)&lt;=0,"Invalid",VALUE(Raw_Data!G121)))</f>
        <v>174</v>
      </c>
      <c r="H121" s="17">
        <f>IF(Raw_Data!H121="","",IF(VALUE(Raw_Data!H121)&lt;=0,"Invalid",VALUE(Raw_Data!H121)))</f>
        <v>123</v>
      </c>
      <c r="I121" s="23">
        <f>IFERROR(VALUE(SUBSTITUTE(SUBSTITUTE(Raw_Data!I121,"₹",""),",","")),"")</f>
        <v>41799</v>
      </c>
      <c r="J121" s="17" t="str">
        <f>IF(TRIM(Raw_Data!J121)="","Not Specified",PROPER(TRIM(Raw_Data!J121)))</f>
        <v>Low</v>
      </c>
      <c r="K121" s="17" t="str">
        <f>IF(TRIM(Raw_Data!K121)="","Not Specified",IFERROR(INDEX(Lookup_Tables!$E$6:$E$13,MATCH(TRIM(Raw_Data!K121),Lookup_Tables!$D$6:$D$13,0)),"Unknown - Review"))</f>
        <v>Dispatched</v>
      </c>
      <c r="L121" s="17" t="str">
        <f>IF(TRIM(Raw_Data!L121)="","",PROPER(TRIM(Raw_Data!L121)))</f>
        <v>Quartermaster</v>
      </c>
      <c r="M121" s="22">
        <f>IF(Raw_Data!M121="","",IF(ISNUMBER(Raw_Data!M121),Raw_Data!M121,IF(ISNUMBER(SEARCH("/",Raw_Data!M121)),IFERROR(DATE(VALUE(RIGHT(Raw_Data!M121,4)),VALUE(MID(Raw_Data!M121,4,2)),VALUE(LEFT(Raw_Data!M121,2))),"Invalid Date"),IFERROR(DATEVALUE(Raw_Data!M121),"Invalid Date"))))</f>
        <v>45750</v>
      </c>
      <c r="N121" s="22">
        <f>IF(Raw_Data!N121="","",IF(ISNUMBER(Raw_Data!N121),Raw_Data!N121,IF(ISNUMBER(SEARCH("/",Raw_Data!N121)),IFERROR(DATE(VALUE(RIGHT(Raw_Data!N121,4)),VALUE(MID(Raw_Data!N121,4,2)),VALUE(LEFT(Raw_Data!N121,2))),"Invalid Date"),IFERROR(DATEVALUE(Raw_Data!N121),"Invalid Date"))))</f>
        <v>45756</v>
      </c>
      <c r="O121" s="22" t="str">
        <f>IF(Raw_Data!O121="","",IF(ISNUMBER(Raw_Data!O121),Raw_Data!O121,IF(ISNUMBER(SEARCH("/",Raw_Data!O121)),IFERROR(DATE(VALUE(RIGHT(Raw_Data!O121,4)),VALUE(MID(Raw_Data!O121,4,2)),VALUE(LEFT(Raw_Data!O121,2))),"Invalid Date"),IFERROR(DATEVALUE(Raw_Data!O121),"Invalid Date"))))</f>
        <v/>
      </c>
      <c r="P121" s="17" t="str">
        <f>IF(OR(TRIM(Raw_Data!P121)="",TRIM(Raw_Data!P121)="N/A",TRIM(Raw_Data!P121)="TBD",TRIM(Raw_Data!P121)="-"),"Not Assigned",PROPER(TRIM(Raw_Data!P121)))</f>
        <v>Shakti Traders</v>
      </c>
      <c r="Q121" s="24">
        <f t="shared" si="6"/>
        <v>5141277</v>
      </c>
      <c r="R121" s="17" t="str">
        <f t="shared" si="7"/>
        <v/>
      </c>
      <c r="S121" s="17" t="str">
        <f>IF(COUNTIF($A$2:A121,A121)&gt;1,"Duplicate","Unique")</f>
        <v>Unique</v>
      </c>
      <c r="T121" s="17" t="str">
        <f t="shared" si="8"/>
        <v>No</v>
      </c>
      <c r="U121" s="17" t="str">
        <f t="shared" si="9"/>
        <v>No</v>
      </c>
      <c r="V121" s="17" t="str">
        <f t="shared" si="10"/>
        <v>Yes</v>
      </c>
      <c r="W121" s="17" t="str">
        <f t="shared" si="11"/>
        <v>Mar-2025</v>
      </c>
    </row>
    <row r="122" spans="1:23" x14ac:dyDescent="0.3">
      <c r="A122" s="17" t="str">
        <f>TRIM(Raw_Data!A122)</f>
        <v>REQ-2025-0121</v>
      </c>
      <c r="B122" s="22" t="str">
        <f>IF(Raw_Data!B122="","",IF(ISNUMBER(Raw_Data!B122),Raw_Data!B122,IF(ISNUMBER(SEARCH("/",Raw_Data!B122)),IFERROR(DATE(VALUE(RIGHT(Raw_Data!B122,4)),VALUE(MID(Raw_Data!B122,4,2)),VALUE(LEFT(Raw_Data!B122,2))),"Invalid Date"),IFERROR(DATEVALUE(Raw_Data!B122),"Invalid Date"))))</f>
        <v/>
      </c>
      <c r="C122" s="17" t="str">
        <f>IF(TRIM(Raw_Data!C122)="","",PROPER(TRIM(Raw_Data!C122)))</f>
        <v>Unit H - Air Defence</v>
      </c>
      <c r="D122" s="17" t="str">
        <f>IF(TRIM(Raw_Data!D122)="","Not Specified",IFERROR(INDEX(Lookup_Tables!$H$6:$H$12,MATCH(TRIM(Raw_Data!D122),Lookup_Tables!$G$6:$G$12,0)),"Unknown - Review"))</f>
        <v>Northern</v>
      </c>
      <c r="E122" s="17" t="str">
        <f>IF(TRIM(Raw_Data!E122)="","Not Specified",IFERROR(INDEX(Lookup_Tables!$B$6:$B$18,MATCH(TRIM(Raw_Data!E122),Lookup_Tables!$A$6:$A$18,0)),"Unknown - Review"))</f>
        <v>Vehicle Spares</v>
      </c>
      <c r="F122" s="17" t="str">
        <f>IF(TRIM(Raw_Data!F122)="","",TRIM(Raw_Data!F122))</f>
        <v>Engine Oil Filter</v>
      </c>
      <c r="G122" s="17">
        <f>IF(Raw_Data!G122="","",IF(VALUE(Raw_Data!G122)&lt;=0,"Invalid",VALUE(Raw_Data!G122)))</f>
        <v>354</v>
      </c>
      <c r="H122" s="17">
        <f>IF(Raw_Data!H122="","",IF(VALUE(Raw_Data!H122)&lt;=0,"Invalid",VALUE(Raw_Data!H122)))</f>
        <v>332</v>
      </c>
      <c r="I122" s="23">
        <f>IFERROR(VALUE(SUBSTITUTE(SUBSTITUTE(Raw_Data!I122,"₹",""),",","")),"")</f>
        <v>5235</v>
      </c>
      <c r="J122" s="17" t="str">
        <f>IF(TRIM(Raw_Data!J122)="","Not Specified",PROPER(TRIM(Raw_Data!J122)))</f>
        <v>Medium</v>
      </c>
      <c r="K122" s="17" t="str">
        <f>IF(TRIM(Raw_Data!K122)="","Not Specified",IFERROR(INDEX(Lookup_Tables!$E$6:$E$13,MATCH(TRIM(Raw_Data!K122),Lookup_Tables!$D$6:$D$13,0)),"Unknown - Review"))</f>
        <v>Approved</v>
      </c>
      <c r="L122" s="17" t="str">
        <f>IF(TRIM(Raw_Data!L122)="","",PROPER(TRIM(Raw_Data!L122)))</f>
        <v>Quartermaster</v>
      </c>
      <c r="M122" s="22">
        <f>IF(Raw_Data!M122="","",IF(ISNUMBER(Raw_Data!M122),Raw_Data!M122,IF(ISNUMBER(SEARCH("/",Raw_Data!M122)),IFERROR(DATE(VALUE(RIGHT(Raw_Data!M122,4)),VALUE(MID(Raw_Data!M122,4,2)),VALUE(LEFT(Raw_Data!M122,2))),"Invalid Date"),IFERROR(DATEVALUE(Raw_Data!M122),"Invalid Date"))))</f>
        <v>45891</v>
      </c>
      <c r="N122" s="22">
        <f>IF(Raw_Data!N122="","",IF(ISNUMBER(Raw_Data!N122),Raw_Data!N122,IF(ISNUMBER(SEARCH("/",Raw_Data!N122)),IFERROR(DATE(VALUE(RIGHT(Raw_Data!N122,4)),VALUE(MID(Raw_Data!N122,4,2)),VALUE(LEFT(Raw_Data!N122,2))),"Invalid Date"),IFERROR(DATEVALUE(Raw_Data!N122),"Invalid Date"))))</f>
        <v>45913</v>
      </c>
      <c r="O122" s="22" t="str">
        <f>IF(Raw_Data!O122="","",IF(ISNUMBER(Raw_Data!O122),Raw_Data!O122,IF(ISNUMBER(SEARCH("/",Raw_Data!O122)),IFERROR(DATE(VALUE(RIGHT(Raw_Data!O122,4)),VALUE(MID(Raw_Data!O122,4,2)),VALUE(LEFT(Raw_Data!O122,2))),"Invalid Date"),IFERROR(DATEVALUE(Raw_Data!O122),"Invalid Date"))))</f>
        <v/>
      </c>
      <c r="P122" s="17" t="str">
        <f>IF(OR(TRIM(Raw_Data!P122)="",TRIM(Raw_Data!P122)="N/A",TRIM(Raw_Data!P122)="TBD",TRIM(Raw_Data!P122)="-"),"Not Assigned",PROPER(TRIM(Raw_Data!P122)))</f>
        <v>Shakti Traders</v>
      </c>
      <c r="Q122" s="24">
        <f t="shared" si="6"/>
        <v>1738020</v>
      </c>
      <c r="R122" s="17" t="str">
        <f t="shared" si="7"/>
        <v/>
      </c>
      <c r="S122" s="17" t="str">
        <f>IF(COUNTIF($A$2:A122,A122)&gt;1,"Duplicate","Unique")</f>
        <v>Unique</v>
      </c>
      <c r="T122" s="17" t="str">
        <f t="shared" si="8"/>
        <v>No</v>
      </c>
      <c r="U122" s="17" t="str">
        <f t="shared" si="9"/>
        <v>No</v>
      </c>
      <c r="V122" s="17" t="str">
        <f t="shared" si="10"/>
        <v>Yes</v>
      </c>
      <c r="W122" s="17" t="str">
        <f t="shared" si="11"/>
        <v/>
      </c>
    </row>
    <row r="123" spans="1:23" x14ac:dyDescent="0.3">
      <c r="A123" s="17" t="str">
        <f>TRIM(Raw_Data!A123)</f>
        <v>REQ-2025-0122</v>
      </c>
      <c r="B123" s="22">
        <f>IF(Raw_Data!B123="","",IF(ISNUMBER(Raw_Data!B123),Raw_Data!B123,IF(ISNUMBER(SEARCH("/",Raw_Data!B123)),IFERROR(DATE(VALUE(RIGHT(Raw_Data!B123,4)),VALUE(MID(Raw_Data!B123,4,2)),VALUE(LEFT(Raw_Data!B123,2))),"Invalid Date"),IFERROR(DATEVALUE(Raw_Data!B123),"Invalid Date"))))</f>
        <v>46009</v>
      </c>
      <c r="C123" s="17" t="str">
        <f>IF(TRIM(Raw_Data!C123)="","",PROPER(TRIM(Raw_Data!C123)))</f>
        <v>Unit B - Artillery</v>
      </c>
      <c r="D123" s="17" t="str">
        <f>IF(TRIM(Raw_Data!D123)="","Not Specified",IFERROR(INDEX(Lookup_Tables!$H$6:$H$12,MATCH(TRIM(Raw_Data!D123),Lookup_Tables!$G$6:$G$12,0)),"Unknown - Review"))</f>
        <v>Southern</v>
      </c>
      <c r="E123" s="17" t="str">
        <f>IF(TRIM(Raw_Data!E123)="","Not Specified",IFERROR(INDEX(Lookup_Tables!$B$6:$B$18,MATCH(TRIM(Raw_Data!E123),Lookup_Tables!$A$6:$A$18,0)),"Unknown - Review"))</f>
        <v>Construction Material</v>
      </c>
      <c r="F123" s="17" t="str">
        <f>IF(TRIM(Raw_Data!F123)="","",TRIM(Raw_Data!F123))</f>
        <v>Cement Bag (50kg)</v>
      </c>
      <c r="G123" s="17" t="str">
        <f>IF(Raw_Data!G123="","",IF(VALUE(Raw_Data!G123)&lt;=0,"Invalid",VALUE(Raw_Data!G123)))</f>
        <v/>
      </c>
      <c r="H123" s="17">
        <f>IF(Raw_Data!H123="","",IF(VALUE(Raw_Data!H123)&lt;=0,"Invalid",VALUE(Raw_Data!H123)))</f>
        <v>32</v>
      </c>
      <c r="I123" s="23" t="str">
        <f>IFERROR(VALUE(SUBSTITUTE(SUBSTITUTE(Raw_Data!I123,"₹",""),",","")),"")</f>
        <v/>
      </c>
      <c r="J123" s="17" t="str">
        <f>IF(TRIM(Raw_Data!J123)="","Not Specified",PROPER(TRIM(Raw_Data!J123)))</f>
        <v>Routine</v>
      </c>
      <c r="K123" s="17" t="str">
        <f>IF(TRIM(Raw_Data!K123)="","Not Specified",IFERROR(INDEX(Lookup_Tables!$E$6:$E$13,MATCH(TRIM(Raw_Data!K123),Lookup_Tables!$D$6:$D$13,0)),"Unknown - Review"))</f>
        <v>Approved</v>
      </c>
      <c r="L123" s="17" t="str">
        <f>IF(TRIM(Raw_Data!L123)="","",PROPER(TRIM(Raw_Data!L123)))</f>
        <v>Stores Officer</v>
      </c>
      <c r="M123" s="22">
        <f>IF(Raw_Data!M123="","",IF(ISNUMBER(Raw_Data!M123),Raw_Data!M123,IF(ISNUMBER(SEARCH("/",Raw_Data!M123)),IFERROR(DATE(VALUE(RIGHT(Raw_Data!M123,4)),VALUE(MID(Raw_Data!M123,4,2)),VALUE(LEFT(Raw_Data!M123,2))),"Invalid Date"),IFERROR(DATEVALUE(Raw_Data!M123),"Invalid Date"))))</f>
        <v>46019</v>
      </c>
      <c r="N123" s="22">
        <f>IF(Raw_Data!N123="","",IF(ISNUMBER(Raw_Data!N123),Raw_Data!N123,IF(ISNUMBER(SEARCH("/",Raw_Data!N123)),IFERROR(DATE(VALUE(RIGHT(Raw_Data!N123,4)),VALUE(MID(Raw_Data!N123,4,2)),VALUE(LEFT(Raw_Data!N123,2))),"Invalid Date"),IFERROR(DATEVALUE(Raw_Data!N123),"Invalid Date"))))</f>
        <v>46031</v>
      </c>
      <c r="O123" s="22" t="str">
        <f>IF(Raw_Data!O123="","",IF(ISNUMBER(Raw_Data!O123),Raw_Data!O123,IF(ISNUMBER(SEARCH("/",Raw_Data!O123)),IFERROR(DATE(VALUE(RIGHT(Raw_Data!O123,4)),VALUE(MID(Raw_Data!O123,4,2)),VALUE(LEFT(Raw_Data!O123,2))),"Invalid Date"),IFERROR(DATEVALUE(Raw_Data!O123),"Invalid Date"))))</f>
        <v/>
      </c>
      <c r="P123" s="17" t="str">
        <f>IF(OR(TRIM(Raw_Data!P123)="",TRIM(Raw_Data!P123)="N/A",TRIM(Raw_Data!P123)="TBD",TRIM(Raw_Data!P123)="-"),"Not Assigned",PROPER(TRIM(Raw_Data!P123)))</f>
        <v>Shakti Traders</v>
      </c>
      <c r="Q123" s="24" t="str">
        <f t="shared" si="6"/>
        <v/>
      </c>
      <c r="R123" s="17" t="str">
        <f t="shared" si="7"/>
        <v/>
      </c>
      <c r="S123" s="17" t="str">
        <f>IF(COUNTIF($A$2:A123,A123)&gt;1,"Duplicate","Unique")</f>
        <v>Unique</v>
      </c>
      <c r="T123" s="17" t="str">
        <f t="shared" si="8"/>
        <v>Yes</v>
      </c>
      <c r="U123" s="17" t="str">
        <f t="shared" si="9"/>
        <v>No</v>
      </c>
      <c r="V123" s="17" t="str">
        <f t="shared" si="10"/>
        <v>No</v>
      </c>
      <c r="W123" s="17" t="str">
        <f t="shared" si="11"/>
        <v>Dec-2025</v>
      </c>
    </row>
    <row r="124" spans="1:23" x14ac:dyDescent="0.3">
      <c r="A124" s="17" t="str">
        <f>TRIM(Raw_Data!A124)</f>
        <v>REQ-2025-0123</v>
      </c>
      <c r="B124" s="22">
        <f>IF(Raw_Data!B124="","",IF(ISNUMBER(Raw_Data!B124),Raw_Data!B124,IF(ISNUMBER(SEARCH("/",Raw_Data!B124)),IFERROR(DATE(VALUE(RIGHT(Raw_Data!B124,4)),VALUE(MID(Raw_Data!B124,4,2)),VALUE(LEFT(Raw_Data!B124,2))),"Invalid Date"),IFERROR(DATEVALUE(Raw_Data!B124),"Invalid Date"))))</f>
        <v>45860</v>
      </c>
      <c r="C124" s="17" t="str">
        <f>IF(TRIM(Raw_Data!C124)="","",PROPER(TRIM(Raw_Data!C124)))</f>
        <v>Unit E - Medical Corps</v>
      </c>
      <c r="D124" s="17" t="str">
        <f>IF(TRIM(Raw_Data!D124)="","Not Specified",IFERROR(INDEX(Lookup_Tables!$H$6:$H$12,MATCH(TRIM(Raw_Data!D124),Lookup_Tables!$G$6:$G$12,0)),"Unknown - Review"))</f>
        <v>Central</v>
      </c>
      <c r="E124" s="17" t="str">
        <f>IF(TRIM(Raw_Data!E124)="","Not Specified",IFERROR(INDEX(Lookup_Tables!$B$6:$B$18,MATCH(TRIM(Raw_Data!E124),Lookup_Tables!$A$6:$A$18,0)),"Unknown - Review"))</f>
        <v>Office &amp; IT Equipment</v>
      </c>
      <c r="F124" s="17" t="str">
        <f>IF(TRIM(Raw_Data!F124)="","",TRIM(Raw_Data!F124))</f>
        <v>Filing Cabinet</v>
      </c>
      <c r="G124" s="17">
        <f>IF(Raw_Data!G124="","",IF(VALUE(Raw_Data!G124)&lt;=0,"Invalid",VALUE(Raw_Data!G124)))</f>
        <v>85</v>
      </c>
      <c r="H124" s="17">
        <f>IF(Raw_Data!H124="","",IF(VALUE(Raw_Data!H124)&lt;=0,"Invalid",VALUE(Raw_Data!H124)))</f>
        <v>69</v>
      </c>
      <c r="I124" s="23" t="str">
        <f>IFERROR(VALUE(SUBSTITUTE(SUBSTITUTE(Raw_Data!I124,"₹",""),",","")),"")</f>
        <v/>
      </c>
      <c r="J124" s="17" t="str">
        <f>IF(TRIM(Raw_Data!J124)="","Not Specified",PROPER(TRIM(Raw_Data!J124)))</f>
        <v>High</v>
      </c>
      <c r="K124" s="17" t="str">
        <f>IF(TRIM(Raw_Data!K124)="","Not Specified",IFERROR(INDEX(Lookup_Tables!$E$6:$E$13,MATCH(TRIM(Raw_Data!K124),Lookup_Tables!$D$6:$D$13,0)),"Unknown - Review"))</f>
        <v>Not Specified</v>
      </c>
      <c r="L124" s="17" t="str">
        <f>IF(TRIM(Raw_Data!L124)="","",PROPER(TRIM(Raw_Data!L124)))</f>
        <v>Unit Commander</v>
      </c>
      <c r="M124" s="22">
        <f>IF(Raw_Data!M124="","",IF(ISNUMBER(Raw_Data!M124),Raw_Data!M124,IF(ISNUMBER(SEARCH("/",Raw_Data!M124)),IFERROR(DATE(VALUE(RIGHT(Raw_Data!M124,4)),VALUE(MID(Raw_Data!M124,4,2)),VALUE(LEFT(Raw_Data!M124,2))),"Invalid Date"),IFERROR(DATEVALUE(Raw_Data!M124),"Invalid Date"))))</f>
        <v>45869</v>
      </c>
      <c r="N124" s="22">
        <f>IF(Raw_Data!N124="","",IF(ISNUMBER(Raw_Data!N124),Raw_Data!N124,IF(ISNUMBER(SEARCH("/",Raw_Data!N124)),IFERROR(DATE(VALUE(RIGHT(Raw_Data!N124,4)),VALUE(MID(Raw_Data!N124,4,2)),VALUE(LEFT(Raw_Data!N124,2))),"Invalid Date"),IFERROR(DATEVALUE(Raw_Data!N124),"Invalid Date"))))</f>
        <v>45883</v>
      </c>
      <c r="O124" s="22" t="str">
        <f>IF(Raw_Data!O124="","",IF(ISNUMBER(Raw_Data!O124),Raw_Data!O124,IF(ISNUMBER(SEARCH("/",Raw_Data!O124)),IFERROR(DATE(VALUE(RIGHT(Raw_Data!O124,4)),VALUE(MID(Raw_Data!O124,4,2)),VALUE(LEFT(Raw_Data!O124,2))),"Invalid Date"),IFERROR(DATEVALUE(Raw_Data!O124),"Invalid Date"))))</f>
        <v/>
      </c>
      <c r="P124" s="17" t="str">
        <f>IF(OR(TRIM(Raw_Data!P124)="",TRIM(Raw_Data!P124)="N/A",TRIM(Raw_Data!P124)="TBD",TRIM(Raw_Data!P124)="-"),"Not Assigned",PROPER(TRIM(Raw_Data!P124)))</f>
        <v>National Defence Stores</v>
      </c>
      <c r="Q124" s="24" t="str">
        <f t="shared" si="6"/>
        <v/>
      </c>
      <c r="R124" s="17" t="str">
        <f t="shared" si="7"/>
        <v/>
      </c>
      <c r="S124" s="17" t="str">
        <f>IF(COUNTIF($A$2:A124,A124)&gt;1,"Duplicate","Unique")</f>
        <v>Unique</v>
      </c>
      <c r="T124" s="17" t="str">
        <f t="shared" si="8"/>
        <v>Yes</v>
      </c>
      <c r="U124" s="17" t="str">
        <f t="shared" si="9"/>
        <v>No</v>
      </c>
      <c r="V124" s="17" t="str">
        <f t="shared" si="10"/>
        <v>No</v>
      </c>
      <c r="W124" s="17" t="str">
        <f t="shared" si="11"/>
        <v>Jul-2025</v>
      </c>
    </row>
    <row r="125" spans="1:23" x14ac:dyDescent="0.3">
      <c r="A125" s="17" t="str">
        <f>TRIM(Raw_Data!A125)</f>
        <v>REQ-2025-0124</v>
      </c>
      <c r="B125" s="22">
        <f>IF(Raw_Data!B125="","",IF(ISNUMBER(Raw_Data!B125),Raw_Data!B125,IF(ISNUMBER(SEARCH("/",Raw_Data!B125)),IFERROR(DATE(VALUE(RIGHT(Raw_Data!B125,4)),VALUE(MID(Raw_Data!B125,4,2)),VALUE(LEFT(Raw_Data!B125,2))),"Invalid Date"),IFERROR(DATEVALUE(Raw_Data!B125),"Invalid Date"))))</f>
        <v>45740</v>
      </c>
      <c r="C125" s="17" t="str">
        <f>IF(TRIM(Raw_Data!C125)="","",PROPER(TRIM(Raw_Data!C125)))</f>
        <v>Unit F - Ordnance Depot</v>
      </c>
      <c r="D125" s="17" t="str">
        <f>IF(TRIM(Raw_Data!D125)="","Not Specified",IFERROR(INDEX(Lookup_Tables!$H$6:$H$12,MATCH(TRIM(Raw_Data!D125),Lookup_Tables!$G$6:$G$12,0)),"Unknown - Review"))</f>
        <v>Northern</v>
      </c>
      <c r="E125" s="17" t="str">
        <f>IF(TRIM(Raw_Data!E125)="","Not Specified",IFERROR(INDEX(Lookup_Tables!$B$6:$B$18,MATCH(TRIM(Raw_Data!E125),Lookup_Tables!$A$6:$A$18,0)),"Unknown - Review"))</f>
        <v>Tents &amp; Shelter</v>
      </c>
      <c r="F125" s="17" t="str">
        <f>IF(TRIM(Raw_Data!F125)="","",TRIM(Raw_Data!F125))</f>
        <v>Tarpaulin Sheet</v>
      </c>
      <c r="G125" s="17">
        <f>IF(Raw_Data!G125="","",IF(VALUE(Raw_Data!G125)&lt;=0,"Invalid",VALUE(Raw_Data!G125)))</f>
        <v>63</v>
      </c>
      <c r="H125" s="17">
        <f>IF(Raw_Data!H125="","",IF(VALUE(Raw_Data!H125)&lt;=0,"Invalid",VALUE(Raw_Data!H125)))</f>
        <v>60</v>
      </c>
      <c r="I125" s="23">
        <f>IFERROR(VALUE(SUBSTITUTE(SUBSTITUTE(Raw_Data!I125,"₹",""),",","")),"")</f>
        <v>38334.74</v>
      </c>
      <c r="J125" s="17" t="str">
        <f>IF(TRIM(Raw_Data!J125)="","Not Specified",PROPER(TRIM(Raw_Data!J125)))</f>
        <v>Low</v>
      </c>
      <c r="K125" s="17" t="str">
        <f>IF(TRIM(Raw_Data!K125)="","Not Specified",IFERROR(INDEX(Lookup_Tables!$E$6:$E$13,MATCH(TRIM(Raw_Data!K125),Lookup_Tables!$D$6:$D$13,0)),"Unknown - Review"))</f>
        <v>Approved</v>
      </c>
      <c r="L125" s="17" t="str">
        <f>IF(TRIM(Raw_Data!L125)="","",PROPER(TRIM(Raw_Data!L125)))</f>
        <v>Logistics Officer</v>
      </c>
      <c r="M125" s="22">
        <f>IF(Raw_Data!M125="","",IF(ISNUMBER(Raw_Data!M125),Raw_Data!M125,IF(ISNUMBER(SEARCH("/",Raw_Data!M125)),IFERROR(DATE(VALUE(RIGHT(Raw_Data!M125,4)),VALUE(MID(Raw_Data!M125,4,2)),VALUE(LEFT(Raw_Data!M125,2))),"Invalid Date"),IFERROR(DATEVALUE(Raw_Data!M125),"Invalid Date"))))</f>
        <v>45749</v>
      </c>
      <c r="N125" s="22">
        <f>IF(Raw_Data!N125="","",IF(ISNUMBER(Raw_Data!N125),Raw_Data!N125,IF(ISNUMBER(SEARCH("/",Raw_Data!N125)),IFERROR(DATE(VALUE(RIGHT(Raw_Data!N125,4)),VALUE(MID(Raw_Data!N125,4,2)),VALUE(LEFT(Raw_Data!N125,2))),"Invalid Date"),IFERROR(DATEVALUE(Raw_Data!N125),"Invalid Date"))))</f>
        <v>45768</v>
      </c>
      <c r="O125" s="22" t="str">
        <f>IF(Raw_Data!O125="","",IF(ISNUMBER(Raw_Data!O125),Raw_Data!O125,IF(ISNUMBER(SEARCH("/",Raw_Data!O125)),IFERROR(DATE(VALUE(RIGHT(Raw_Data!O125,4)),VALUE(MID(Raw_Data!O125,4,2)),VALUE(LEFT(Raw_Data!O125,2))),"Invalid Date"),IFERROR(DATEVALUE(Raw_Data!O125),"Invalid Date"))))</f>
        <v/>
      </c>
      <c r="P125" s="17" t="str">
        <f>IF(OR(TRIM(Raw_Data!P125)="",TRIM(Raw_Data!P125)="N/A",TRIM(Raw_Data!P125)="TBD",TRIM(Raw_Data!P125)="-"),"Not Assigned",PROPER(TRIM(Raw_Data!P125)))</f>
        <v>Sena Supply Co</v>
      </c>
      <c r="Q125" s="24">
        <f t="shared" si="6"/>
        <v>2300084.4</v>
      </c>
      <c r="R125" s="17" t="str">
        <f t="shared" si="7"/>
        <v/>
      </c>
      <c r="S125" s="17" t="str">
        <f>IF(COUNTIF($A$2:A125,A125)&gt;1,"Duplicate","Unique")</f>
        <v>Unique</v>
      </c>
      <c r="T125" s="17" t="str">
        <f t="shared" si="8"/>
        <v>No</v>
      </c>
      <c r="U125" s="17" t="str">
        <f t="shared" si="9"/>
        <v>No</v>
      </c>
      <c r="V125" s="17" t="str">
        <f t="shared" si="10"/>
        <v>Yes</v>
      </c>
      <c r="W125" s="17" t="str">
        <f t="shared" si="11"/>
        <v>Mar-2025</v>
      </c>
    </row>
    <row r="126" spans="1:23" x14ac:dyDescent="0.3">
      <c r="A126" s="17" t="str">
        <f>TRIM(Raw_Data!A126)</f>
        <v>REQ-2025-0125</v>
      </c>
      <c r="B126" s="22">
        <f>IF(Raw_Data!B126="","",IF(ISNUMBER(Raw_Data!B126),Raw_Data!B126,IF(ISNUMBER(SEARCH("/",Raw_Data!B126)),IFERROR(DATE(VALUE(RIGHT(Raw_Data!B126,4)),VALUE(MID(Raw_Data!B126,4,2)),VALUE(LEFT(Raw_Data!B126,2))),"Invalid Date"),IFERROR(DATEVALUE(Raw_Data!B126),"Invalid Date"))))</f>
        <v>45784</v>
      </c>
      <c r="C126" s="17" t="str">
        <f>IF(TRIM(Raw_Data!C126)="","",PROPER(TRIM(Raw_Data!C126)))</f>
        <v>Unit F - Ordnance Depot</v>
      </c>
      <c r="D126" s="17" t="str">
        <f>IF(TRIM(Raw_Data!D126)="","Not Specified",IFERROR(INDEX(Lookup_Tables!$H$6:$H$12,MATCH(TRIM(Raw_Data!D126),Lookup_Tables!$G$6:$G$12,0)),"Unknown - Review"))</f>
        <v>Southern</v>
      </c>
      <c r="E126" s="17" t="str">
        <f>IF(TRIM(Raw_Data!E126)="","Not Specified",IFERROR(INDEX(Lookup_Tables!$B$6:$B$18,MATCH(TRIM(Raw_Data!E126),Lookup_Tables!$A$6:$A$18,0)),"Unknown - Review"))</f>
        <v>Rations</v>
      </c>
      <c r="F126" s="17" t="str">
        <f>IF(TRIM(Raw_Data!F126)="","",TRIM(Raw_Data!F126))</f>
        <v>Rice (50kg bag)</v>
      </c>
      <c r="G126" s="17">
        <f>IF(Raw_Data!G126="","",IF(VALUE(Raw_Data!G126)&lt;=0,"Invalid",VALUE(Raw_Data!G126)))</f>
        <v>435</v>
      </c>
      <c r="H126" s="17">
        <f>IF(Raw_Data!H126="","",IF(VALUE(Raw_Data!H126)&lt;=0,"Invalid",VALUE(Raw_Data!H126)))</f>
        <v>347</v>
      </c>
      <c r="I126" s="23">
        <f>IFERROR(VALUE(SUBSTITUTE(SUBSTITUTE(Raw_Data!I126,"₹",""),",","")),"")</f>
        <v>21675.94</v>
      </c>
      <c r="J126" s="17" t="str">
        <f>IF(TRIM(Raw_Data!J126)="","Not Specified",PROPER(TRIM(Raw_Data!J126)))</f>
        <v>Routine</v>
      </c>
      <c r="K126" s="17" t="str">
        <f>IF(TRIM(Raw_Data!K126)="","Not Specified",IFERROR(INDEX(Lookup_Tables!$E$6:$E$13,MATCH(TRIM(Raw_Data!K126),Lookup_Tables!$D$6:$D$13,0)),"Unknown - Review"))</f>
        <v>Delivered</v>
      </c>
      <c r="L126" s="17" t="str">
        <f>IF(TRIM(Raw_Data!L126)="","",PROPER(TRIM(Raw_Data!L126)))</f>
        <v>Stores Officer</v>
      </c>
      <c r="M126" s="22">
        <f>IF(Raw_Data!M126="","",IF(ISNUMBER(Raw_Data!M126),Raw_Data!M126,IF(ISNUMBER(SEARCH("/",Raw_Data!M126)),IFERROR(DATE(VALUE(RIGHT(Raw_Data!M126,4)),VALUE(MID(Raw_Data!M126,4,2)),VALUE(LEFT(Raw_Data!M126,2))),"Invalid Date"),IFERROR(DATEVALUE(Raw_Data!M126),"Invalid Date"))))</f>
        <v>45792</v>
      </c>
      <c r="N126" s="22">
        <f>IF(Raw_Data!N126="","",IF(ISNUMBER(Raw_Data!N126),Raw_Data!N126,IF(ISNUMBER(SEARCH("/",Raw_Data!N126)),IFERROR(DATE(VALUE(RIGHT(Raw_Data!N126,4)),VALUE(MID(Raw_Data!N126,4,2)),VALUE(LEFT(Raw_Data!N126,2))),"Invalid Date"),IFERROR(DATEVALUE(Raw_Data!N126),"Invalid Date"))))</f>
        <v>45808</v>
      </c>
      <c r="O126" s="22">
        <f>IF(Raw_Data!O126="","",IF(ISNUMBER(Raw_Data!O126),Raw_Data!O126,IF(ISNUMBER(SEARCH("/",Raw_Data!O126)),IFERROR(DATE(VALUE(RIGHT(Raw_Data!O126,4)),VALUE(MID(Raw_Data!O126,4,2)),VALUE(LEFT(Raw_Data!O126,2))),"Invalid Date"),IFERROR(DATEVALUE(Raw_Data!O126),"Invalid Date"))))</f>
        <v>45827</v>
      </c>
      <c r="P126" s="17" t="str">
        <f>IF(OR(TRIM(Raw_Data!P126)="",TRIM(Raw_Data!P126)="N/A",TRIM(Raw_Data!P126)="TBD",TRIM(Raw_Data!P126)="-"),"Not Assigned",PROPER(TRIM(Raw_Data!P126)))</f>
        <v>Shakti Traders</v>
      </c>
      <c r="Q126" s="24">
        <f t="shared" si="6"/>
        <v>7521551.1799999997</v>
      </c>
      <c r="R126" s="17">
        <f t="shared" si="7"/>
        <v>19</v>
      </c>
      <c r="S126" s="17" t="str">
        <f>IF(COUNTIF($A$2:A126,A126)&gt;1,"Duplicate","Unique")</f>
        <v>Unique</v>
      </c>
      <c r="T126" s="17" t="str">
        <f t="shared" si="8"/>
        <v>No</v>
      </c>
      <c r="U126" s="17" t="str">
        <f t="shared" si="9"/>
        <v>No</v>
      </c>
      <c r="V126" s="17" t="str">
        <f t="shared" si="10"/>
        <v>Yes</v>
      </c>
      <c r="W126" s="17" t="str">
        <f t="shared" si="11"/>
        <v>May-2025</v>
      </c>
    </row>
    <row r="127" spans="1:23" x14ac:dyDescent="0.3">
      <c r="A127" s="17" t="str">
        <f>TRIM(Raw_Data!A127)</f>
        <v>REQ-2025-0126</v>
      </c>
      <c r="B127" s="22">
        <f>IF(Raw_Data!B127="","",IF(ISNUMBER(Raw_Data!B127),Raw_Data!B127,IF(ISNUMBER(SEARCH("/",Raw_Data!B127)),IFERROR(DATE(VALUE(RIGHT(Raw_Data!B127,4)),VALUE(MID(Raw_Data!B127,4,2)),VALUE(LEFT(Raw_Data!B127,2))),"Invalid Date"),IFERROR(DATEVALUE(Raw_Data!B127),"Invalid Date"))))</f>
        <v>45899</v>
      </c>
      <c r="C127" s="17" t="str">
        <f>IF(TRIM(Raw_Data!C127)="","",PROPER(TRIM(Raw_Data!C127)))</f>
        <v>Unit A - Infantry</v>
      </c>
      <c r="D127" s="17" t="str">
        <f>IF(TRIM(Raw_Data!D127)="","Not Specified",IFERROR(INDEX(Lookup_Tables!$H$6:$H$12,MATCH(TRIM(Raw_Data!D127),Lookup_Tables!$G$6:$G$12,0)),"Unknown - Review"))</f>
        <v>Northern</v>
      </c>
      <c r="E127" s="17" t="str">
        <f>IF(TRIM(Raw_Data!E127)="","Not Specified",IFERROR(INDEX(Lookup_Tables!$B$6:$B$18,MATCH(TRIM(Raw_Data!E127),Lookup_Tables!$A$6:$A$18,0)),"Unknown - Review"))</f>
        <v>Tents &amp; Shelter</v>
      </c>
      <c r="F127" s="17" t="str">
        <f>IF(TRIM(Raw_Data!F127)="","",TRIM(Raw_Data!F127))</f>
        <v>Ground Sheet</v>
      </c>
      <c r="G127" s="17">
        <f>IF(Raw_Data!G127="","",IF(VALUE(Raw_Data!G127)&lt;=0,"Invalid",VALUE(Raw_Data!G127)))</f>
        <v>205</v>
      </c>
      <c r="H127" s="17">
        <f>IF(Raw_Data!H127="","",IF(VALUE(Raw_Data!H127)&lt;=0,"Invalid",VALUE(Raw_Data!H127)))</f>
        <v>188</v>
      </c>
      <c r="I127" s="23">
        <f>IFERROR(VALUE(SUBSTITUTE(SUBSTITUTE(Raw_Data!I127,"₹",""),",","")),"")</f>
        <v>13201</v>
      </c>
      <c r="J127" s="17" t="str">
        <f>IF(TRIM(Raw_Data!J127)="","Not Specified",PROPER(TRIM(Raw_Data!J127)))</f>
        <v>Medium</v>
      </c>
      <c r="K127" s="17" t="str">
        <f>IF(TRIM(Raw_Data!K127)="","Not Specified",IFERROR(INDEX(Lookup_Tables!$E$6:$E$13,MATCH(TRIM(Raw_Data!K127),Lookup_Tables!$D$6:$D$13,0)),"Unknown - Review"))</f>
        <v>Delivered</v>
      </c>
      <c r="L127" s="17" t="str">
        <f>IF(TRIM(Raw_Data!L127)="","",PROPER(TRIM(Raw_Data!L127)))</f>
        <v>Stores Officer</v>
      </c>
      <c r="M127" s="22">
        <f>IF(Raw_Data!M127="","",IF(ISNUMBER(Raw_Data!M127),Raw_Data!M127,IF(ISNUMBER(SEARCH("/",Raw_Data!M127)),IFERROR(DATE(VALUE(RIGHT(Raw_Data!M127,4)),VALUE(MID(Raw_Data!M127,4,2)),VALUE(LEFT(Raw_Data!M127,2))),"Invalid Date"),IFERROR(DATEVALUE(Raw_Data!M127),"Invalid Date"))))</f>
        <v>45907</v>
      </c>
      <c r="N127" s="22">
        <f>IF(Raw_Data!N127="","",IF(ISNUMBER(Raw_Data!N127),Raw_Data!N127,IF(ISNUMBER(SEARCH("/",Raw_Data!N127)),IFERROR(DATE(VALUE(RIGHT(Raw_Data!N127,4)),VALUE(MID(Raw_Data!N127,4,2)),VALUE(LEFT(Raw_Data!N127,2))),"Invalid Date"),IFERROR(DATEVALUE(Raw_Data!N127),"Invalid Date"))))</f>
        <v>45928</v>
      </c>
      <c r="O127" s="22">
        <f>IF(Raw_Data!O127="","",IF(ISNUMBER(Raw_Data!O127),Raw_Data!O127,IF(ISNUMBER(SEARCH("/",Raw_Data!O127)),IFERROR(DATE(VALUE(RIGHT(Raw_Data!O127,4)),VALUE(MID(Raw_Data!O127,4,2)),VALUE(LEFT(Raw_Data!O127,2))),"Invalid Date"),IFERROR(DATEVALUE(Raw_Data!O127),"Invalid Date"))))</f>
        <v>45939</v>
      </c>
      <c r="P127" s="17" t="str">
        <f>IF(OR(TRIM(Raw_Data!P127)="",TRIM(Raw_Data!P127)="N/A",TRIM(Raw_Data!P127)="TBD",TRIM(Raw_Data!P127)="-"),"Not Assigned",PROPER(TRIM(Raw_Data!P127)))</f>
        <v>Sena Supply Co</v>
      </c>
      <c r="Q127" s="24">
        <f t="shared" si="6"/>
        <v>2481788</v>
      </c>
      <c r="R127" s="17">
        <f t="shared" si="7"/>
        <v>11</v>
      </c>
      <c r="S127" s="17" t="str">
        <f>IF(COUNTIF($A$2:A127,A127)&gt;1,"Duplicate","Unique")</f>
        <v>Unique</v>
      </c>
      <c r="T127" s="17" t="str">
        <f t="shared" si="8"/>
        <v>No</v>
      </c>
      <c r="U127" s="17" t="str">
        <f t="shared" si="9"/>
        <v>No</v>
      </c>
      <c r="V127" s="17" t="str">
        <f t="shared" si="10"/>
        <v>Yes</v>
      </c>
      <c r="W127" s="17" t="str">
        <f t="shared" si="11"/>
        <v>Aug-2025</v>
      </c>
    </row>
    <row r="128" spans="1:23" x14ac:dyDescent="0.3">
      <c r="A128" s="17" t="str">
        <f>TRIM(Raw_Data!A128)</f>
        <v>REQ-2025-0127</v>
      </c>
      <c r="B128" s="22">
        <f>IF(Raw_Data!B128="","",IF(ISNUMBER(Raw_Data!B128),Raw_Data!B128,IF(ISNUMBER(SEARCH("/",Raw_Data!B128)),IFERROR(DATE(VALUE(RIGHT(Raw_Data!B128,4)),VALUE(MID(Raw_Data!B128,4,2)),VALUE(LEFT(Raw_Data!B128,2))),"Invalid Date"),IFERROR(DATEVALUE(Raw_Data!B128),"Invalid Date"))))</f>
        <v>46000</v>
      </c>
      <c r="C128" s="17" t="str">
        <f>IF(TRIM(Raw_Data!C128)="","",PROPER(TRIM(Raw_Data!C128)))</f>
        <v>Unit B - Artillery</v>
      </c>
      <c r="D128" s="17" t="str">
        <f>IF(TRIM(Raw_Data!D128)="","Not Specified",IFERROR(INDEX(Lookup_Tables!$H$6:$H$12,MATCH(TRIM(Raw_Data!D128),Lookup_Tables!$G$6:$G$12,0)),"Unknown - Review"))</f>
        <v>Southern</v>
      </c>
      <c r="E128" s="17" t="str">
        <f>IF(TRIM(Raw_Data!E128)="","Not Specified",IFERROR(INDEX(Lookup_Tables!$B$6:$B$18,MATCH(TRIM(Raw_Data!E128),Lookup_Tables!$A$6:$A$18,0)),"Unknown - Review"))</f>
        <v>Medical Supplies</v>
      </c>
      <c r="F128" s="17" t="str">
        <f>IF(TRIM(Raw_Data!F128)="","",TRIM(Raw_Data!F128))</f>
        <v>First Aid Kit</v>
      </c>
      <c r="G128" s="17">
        <f>IF(Raw_Data!G128="","",IF(VALUE(Raw_Data!G128)&lt;=0,"Invalid",VALUE(Raw_Data!G128)))</f>
        <v>245</v>
      </c>
      <c r="H128" s="17">
        <f>IF(Raw_Data!H128="","",IF(VALUE(Raw_Data!H128)&lt;=0,"Invalid",VALUE(Raw_Data!H128)))</f>
        <v>174</v>
      </c>
      <c r="I128" s="23">
        <f>IFERROR(VALUE(SUBSTITUTE(SUBSTITUTE(Raw_Data!I128,"₹",""),",","")),"")</f>
        <v>29236.33</v>
      </c>
      <c r="J128" s="17" t="str">
        <f>IF(TRIM(Raw_Data!J128)="","Not Specified",PROPER(TRIM(Raw_Data!J128)))</f>
        <v>Low</v>
      </c>
      <c r="K128" s="17" t="str">
        <f>IF(TRIM(Raw_Data!K128)="","Not Specified",IFERROR(INDEX(Lookup_Tables!$E$6:$E$13,MATCH(TRIM(Raw_Data!K128),Lookup_Tables!$D$6:$D$13,0)),"Unknown - Review"))</f>
        <v>Approved</v>
      </c>
      <c r="L128" s="17" t="str">
        <f>IF(TRIM(Raw_Data!L128)="","",PROPER(TRIM(Raw_Data!L128)))</f>
        <v>Unit Commander</v>
      </c>
      <c r="M128" s="22">
        <f>IF(Raw_Data!M128="","",IF(ISNUMBER(Raw_Data!M128),Raw_Data!M128,IF(ISNUMBER(SEARCH("/",Raw_Data!M128)),IFERROR(DATE(VALUE(RIGHT(Raw_Data!M128,4)),VALUE(MID(Raw_Data!M128,4,2)),VALUE(LEFT(Raw_Data!M128,2))),"Invalid Date"),IFERROR(DATEVALUE(Raw_Data!M128),"Invalid Date"))))</f>
        <v>46002</v>
      </c>
      <c r="N128" s="22">
        <f>IF(Raw_Data!N128="","",IF(ISNUMBER(Raw_Data!N128),Raw_Data!N128,IF(ISNUMBER(SEARCH("/",Raw_Data!N128)),IFERROR(DATE(VALUE(RIGHT(Raw_Data!N128,4)),VALUE(MID(Raw_Data!N128,4,2)),VALUE(LEFT(Raw_Data!N128,2))),"Invalid Date"),IFERROR(DATEVALUE(Raw_Data!N128),"Invalid Date"))))</f>
        <v>46029</v>
      </c>
      <c r="O128" s="22" t="str">
        <f>IF(Raw_Data!O128="","",IF(ISNUMBER(Raw_Data!O128),Raw_Data!O128,IF(ISNUMBER(SEARCH("/",Raw_Data!O128)),IFERROR(DATE(VALUE(RIGHT(Raw_Data!O128,4)),VALUE(MID(Raw_Data!O128,4,2)),VALUE(LEFT(Raw_Data!O128,2))),"Invalid Date"),IFERROR(DATEVALUE(Raw_Data!O128),"Invalid Date"))))</f>
        <v/>
      </c>
      <c r="P128" s="17" t="str">
        <f>IF(OR(TRIM(Raw_Data!P128)="",TRIM(Raw_Data!P128)="N/A",TRIM(Raw_Data!P128)="TBD",TRIM(Raw_Data!P128)="-"),"Not Assigned",PROPER(TRIM(Raw_Data!P128)))</f>
        <v>Shakti Traders</v>
      </c>
      <c r="Q128" s="24">
        <f t="shared" si="6"/>
        <v>5087121.42</v>
      </c>
      <c r="R128" s="17" t="str">
        <f t="shared" si="7"/>
        <v/>
      </c>
      <c r="S128" s="17" t="str">
        <f>IF(COUNTIF($A$2:A128,A128)&gt;1,"Duplicate","Unique")</f>
        <v>Unique</v>
      </c>
      <c r="T128" s="17" t="str">
        <f t="shared" si="8"/>
        <v>No</v>
      </c>
      <c r="U128" s="17" t="str">
        <f t="shared" si="9"/>
        <v>No</v>
      </c>
      <c r="V128" s="17" t="str">
        <f t="shared" si="10"/>
        <v>Yes</v>
      </c>
      <c r="W128" s="17" t="str">
        <f t="shared" si="11"/>
        <v>Dec-2025</v>
      </c>
    </row>
    <row r="129" spans="1:23" x14ac:dyDescent="0.3">
      <c r="A129" s="17" t="str">
        <f>TRIM(Raw_Data!A129)</f>
        <v>REQ-2025-0128</v>
      </c>
      <c r="B129" s="22">
        <f>IF(Raw_Data!B129="","",IF(ISNUMBER(Raw_Data!B129),Raw_Data!B129,IF(ISNUMBER(SEARCH("/",Raw_Data!B129)),IFERROR(DATE(VALUE(RIGHT(Raw_Data!B129,4)),VALUE(MID(Raw_Data!B129,4,2)),VALUE(LEFT(Raw_Data!B129,2))),"Invalid Date"),IFERROR(DATEVALUE(Raw_Data!B129),"Invalid Date"))))</f>
        <v>45921</v>
      </c>
      <c r="C129" s="17" t="str">
        <f>IF(TRIM(Raw_Data!C129)="","",PROPER(TRIM(Raw_Data!C129)))</f>
        <v>Unit C - Engineers</v>
      </c>
      <c r="D129" s="17" t="str">
        <f>IF(TRIM(Raw_Data!D129)="","Not Specified",IFERROR(INDEX(Lookup_Tables!$H$6:$H$12,MATCH(TRIM(Raw_Data!D129),Lookup_Tables!$G$6:$G$12,0)),"Unknown - Review"))</f>
        <v>Eastern</v>
      </c>
      <c r="E129" s="17" t="str">
        <f>IF(TRIM(Raw_Data!E129)="","Not Specified",IFERROR(INDEX(Lookup_Tables!$B$6:$B$18,MATCH(TRIM(Raw_Data!E129),Lookup_Tables!$A$6:$A$18,0)),"Unknown - Review"))</f>
        <v>Medical Supplies</v>
      </c>
      <c r="F129" s="17" t="str">
        <f>IF(TRIM(Raw_Data!F129)="","",TRIM(Raw_Data!F129))</f>
        <v>First Aid Kit</v>
      </c>
      <c r="G129" s="17">
        <f>IF(Raw_Data!G129="","",IF(VALUE(Raw_Data!G129)&lt;=0,"Invalid",VALUE(Raw_Data!G129)))</f>
        <v>100</v>
      </c>
      <c r="H129" s="17">
        <f>IF(Raw_Data!H129="","",IF(VALUE(Raw_Data!H129)&lt;=0,"Invalid",VALUE(Raw_Data!H129)))</f>
        <v>94</v>
      </c>
      <c r="I129" s="23" t="str">
        <f>IFERROR(VALUE(SUBSTITUTE(SUBSTITUTE(Raw_Data!I129,"₹",""),",","")),"")</f>
        <v/>
      </c>
      <c r="J129" s="17" t="str">
        <f>IF(TRIM(Raw_Data!J129)="","Not Specified",PROPER(TRIM(Raw_Data!J129)))</f>
        <v>Not Specified</v>
      </c>
      <c r="K129" s="17" t="str">
        <f>IF(TRIM(Raw_Data!K129)="","Not Specified",IFERROR(INDEX(Lookup_Tables!$E$6:$E$13,MATCH(TRIM(Raw_Data!K129),Lookup_Tables!$D$6:$D$13,0)),"Unknown - Review"))</f>
        <v>Dispatched</v>
      </c>
      <c r="L129" s="17" t="str">
        <f>IF(TRIM(Raw_Data!L129)="","",PROPER(TRIM(Raw_Data!L129)))</f>
        <v>Logistics Officer</v>
      </c>
      <c r="M129" s="22">
        <f>IF(Raw_Data!M129="","",IF(ISNUMBER(Raw_Data!M129),Raw_Data!M129,IF(ISNUMBER(SEARCH("/",Raw_Data!M129)),IFERROR(DATE(VALUE(RIGHT(Raw_Data!M129,4)),VALUE(MID(Raw_Data!M129,4,2)),VALUE(LEFT(Raw_Data!M129,2))),"Invalid Date"),IFERROR(DATEVALUE(Raw_Data!M129),"Invalid Date"))))</f>
        <v>45928</v>
      </c>
      <c r="N129" s="22" t="str">
        <f>IF(Raw_Data!N129="","",IF(ISNUMBER(Raw_Data!N129),Raw_Data!N129,IF(ISNUMBER(SEARCH("/",Raw_Data!N129)),IFERROR(DATE(VALUE(RIGHT(Raw_Data!N129,4)),VALUE(MID(Raw_Data!N129,4,2)),VALUE(LEFT(Raw_Data!N129,2))),"Invalid Date"),IFERROR(DATEVALUE(Raw_Data!N129),"Invalid Date"))))</f>
        <v/>
      </c>
      <c r="O129" s="22" t="str">
        <f>IF(Raw_Data!O129="","",IF(ISNUMBER(Raw_Data!O129),Raw_Data!O129,IF(ISNUMBER(SEARCH("/",Raw_Data!O129)),IFERROR(DATE(VALUE(RIGHT(Raw_Data!O129,4)),VALUE(MID(Raw_Data!O129,4,2)),VALUE(LEFT(Raw_Data!O129,2))),"Invalid Date"),IFERROR(DATEVALUE(Raw_Data!O129),"Invalid Date"))))</f>
        <v/>
      </c>
      <c r="P129" s="17" t="str">
        <f>IF(OR(TRIM(Raw_Data!P129)="",TRIM(Raw_Data!P129)="N/A",TRIM(Raw_Data!P129)="TBD",TRIM(Raw_Data!P129)="-"),"Not Assigned",PROPER(TRIM(Raw_Data!P129)))</f>
        <v>Om Suppliers</v>
      </c>
      <c r="Q129" s="24" t="str">
        <f t="shared" si="6"/>
        <v/>
      </c>
      <c r="R129" s="17" t="str">
        <f t="shared" si="7"/>
        <v/>
      </c>
      <c r="S129" s="17" t="str">
        <f>IF(COUNTIF($A$2:A129,A129)&gt;1,"Duplicate","Unique")</f>
        <v>Unique</v>
      </c>
      <c r="T129" s="17" t="str">
        <f t="shared" si="8"/>
        <v>No</v>
      </c>
      <c r="U129" s="17" t="str">
        <f t="shared" si="9"/>
        <v>No</v>
      </c>
      <c r="V129" s="17" t="str">
        <f t="shared" si="10"/>
        <v>Yes</v>
      </c>
      <c r="W129" s="17" t="str">
        <f t="shared" si="11"/>
        <v>Sep-2025</v>
      </c>
    </row>
    <row r="130" spans="1:23" x14ac:dyDescent="0.3">
      <c r="A130" s="17" t="str">
        <f>TRIM(Raw_Data!A130)</f>
        <v>REQ-2025-0129</v>
      </c>
      <c r="B130" s="22">
        <f>IF(Raw_Data!B130="","",IF(ISNUMBER(Raw_Data!B130),Raw_Data!B130,IF(ISNUMBER(SEARCH("/",Raw_Data!B130)),IFERROR(DATE(VALUE(RIGHT(Raw_Data!B130,4)),VALUE(MID(Raw_Data!B130,4,2)),VALUE(LEFT(Raw_Data!B130,2))),"Invalid Date"),IFERROR(DATEVALUE(Raw_Data!B130),"Invalid Date"))))</f>
        <v>45701</v>
      </c>
      <c r="C130" s="17" t="str">
        <f>IF(TRIM(Raw_Data!C130)="","",PROPER(TRIM(Raw_Data!C130)))</f>
        <v>Unit G - Transport Corps</v>
      </c>
      <c r="D130" s="17" t="str">
        <f>IF(TRIM(Raw_Data!D130)="","Not Specified",IFERROR(INDEX(Lookup_Tables!$H$6:$H$12,MATCH(TRIM(Raw_Data!D130),Lookup_Tables!$G$6:$G$12,0)),"Unknown - Review"))</f>
        <v>Southern</v>
      </c>
      <c r="E130" s="17" t="str">
        <f>IF(TRIM(Raw_Data!E130)="","Not Specified",IFERROR(INDEX(Lookup_Tables!$B$6:$B$18,MATCH(TRIM(Raw_Data!E130),Lookup_Tables!$A$6:$A$18,0)),"Unknown - Review"))</f>
        <v>Rations</v>
      </c>
      <c r="F130" s="17" t="str">
        <f>IF(TRIM(Raw_Data!F130)="","",TRIM(Raw_Data!F130))</f>
        <v>Rice (50kg bag)</v>
      </c>
      <c r="G130" s="17">
        <f>IF(Raw_Data!G130="","",IF(VALUE(Raw_Data!G130)&lt;=0,"Invalid",VALUE(Raw_Data!G130)))</f>
        <v>92</v>
      </c>
      <c r="H130" s="17">
        <f>IF(Raw_Data!H130="","",IF(VALUE(Raw_Data!H130)&lt;=0,"Invalid",VALUE(Raw_Data!H130)))</f>
        <v>68</v>
      </c>
      <c r="I130" s="23">
        <f>IFERROR(VALUE(SUBSTITUTE(SUBSTITUTE(Raw_Data!I130,"₹",""),",","")),"")</f>
        <v>26281.68</v>
      </c>
      <c r="J130" s="17" t="str">
        <f>IF(TRIM(Raw_Data!J130)="","Not Specified",PROPER(TRIM(Raw_Data!J130)))</f>
        <v>Routine</v>
      </c>
      <c r="K130" s="17" t="str">
        <f>IF(TRIM(Raw_Data!K130)="","Not Specified",IFERROR(INDEX(Lookup_Tables!$E$6:$E$13,MATCH(TRIM(Raw_Data!K130),Lookup_Tables!$D$6:$D$13,0)),"Unknown - Review"))</f>
        <v>Approved</v>
      </c>
      <c r="L130" s="17" t="str">
        <f>IF(TRIM(Raw_Data!L130)="","",PROPER(TRIM(Raw_Data!L130)))</f>
        <v>Unit Commander</v>
      </c>
      <c r="M130" s="22" t="str">
        <f>IF(Raw_Data!M130="","",IF(ISNUMBER(Raw_Data!M130),Raw_Data!M130,IF(ISNUMBER(SEARCH("/",Raw_Data!M130)),IFERROR(DATE(VALUE(RIGHT(Raw_Data!M130,4)),VALUE(MID(Raw_Data!M130,4,2)),VALUE(LEFT(Raw_Data!M130,2))),"Invalid Date"),IFERROR(DATEVALUE(Raw_Data!M130),"Invalid Date"))))</f>
        <v/>
      </c>
      <c r="N130" s="22">
        <f>IF(Raw_Data!N130="","",IF(ISNUMBER(Raw_Data!N130),Raw_Data!N130,IF(ISNUMBER(SEARCH("/",Raw_Data!N130)),IFERROR(DATE(VALUE(RIGHT(Raw_Data!N130,4)),VALUE(MID(Raw_Data!N130,4,2)),VALUE(LEFT(Raw_Data!N130,2))),"Invalid Date"),IFERROR(DATEVALUE(Raw_Data!N130),"Invalid Date"))))</f>
        <v>45728</v>
      </c>
      <c r="O130" s="22" t="str">
        <f>IF(Raw_Data!O130="","",IF(ISNUMBER(Raw_Data!O130),Raw_Data!O130,IF(ISNUMBER(SEARCH("/",Raw_Data!O130)),IFERROR(DATE(VALUE(RIGHT(Raw_Data!O130,4)),VALUE(MID(Raw_Data!O130,4,2)),VALUE(LEFT(Raw_Data!O130,2))),"Invalid Date"),IFERROR(DATEVALUE(Raw_Data!O130),"Invalid Date"))))</f>
        <v/>
      </c>
      <c r="P130" s="17" t="str">
        <f>IF(OR(TRIM(Raw_Data!P130)="",TRIM(Raw_Data!P130)="N/A",TRIM(Raw_Data!P130)="TBD",TRIM(Raw_Data!P130)="-"),"Not Assigned",PROPER(TRIM(Raw_Data!P130)))</f>
        <v>Shakti Traders</v>
      </c>
      <c r="Q130" s="24">
        <f t="shared" ref="Q130:Q193" si="12">IF(OR(H130="",I130="",NOT(ISNUMBER(H130)),NOT(ISNUMBER(I130))),"",H130*I130)</f>
        <v>1787154.24</v>
      </c>
      <c r="R130" s="17" t="str">
        <f t="shared" ref="R130:R193" si="13">IF(AND(ISNUMBER(O130),ISNUMBER(N130)),O130-N130,"")</f>
        <v/>
      </c>
      <c r="S130" s="17" t="str">
        <f>IF(COUNTIF($A$2:A130,A130)&gt;1,"Duplicate","Unique")</f>
        <v>Unique</v>
      </c>
      <c r="T130" s="17" t="str">
        <f t="shared" ref="T130:T193" si="14">IF(OR(G130="",K130="Not Specified",C130=""),"Yes","No")</f>
        <v>No</v>
      </c>
      <c r="U130" s="17" t="str">
        <f t="shared" ref="U130:U193" si="15">IF(OR(AND(ISNUMBER(H130),ISNUMBER(G130),H130&gt;G130),AND(K130="Rejected",ISNUMBER(H130),H130&gt;0)),"Yes","No")</f>
        <v>No</v>
      </c>
      <c r="V130" s="17" t="str">
        <f t="shared" ref="V130:V193" si="16">IF(AND(S130="Unique",T130="No",U130="No",G130&lt;&gt;"Invalid",H130&lt;&gt;"Invalid"),"Yes","No")</f>
        <v>Yes</v>
      </c>
      <c r="W130" s="17" t="str">
        <f t="shared" ref="W130:W193" si="17">IF(ISNUMBER(B130),TEXT(B130,"MMM-YYYY"),"")</f>
        <v>Feb-2025</v>
      </c>
    </row>
    <row r="131" spans="1:23" x14ac:dyDescent="0.3">
      <c r="A131" s="17" t="str">
        <f>TRIM(Raw_Data!A131)</f>
        <v>REQ-2025-0130</v>
      </c>
      <c r="B131" s="22">
        <f>IF(Raw_Data!B131="","",IF(ISNUMBER(Raw_Data!B131),Raw_Data!B131,IF(ISNUMBER(SEARCH("/",Raw_Data!B131)),IFERROR(DATE(VALUE(RIGHT(Raw_Data!B131,4)),VALUE(MID(Raw_Data!B131,4,2)),VALUE(LEFT(Raw_Data!B131,2))),"Invalid Date"),IFERROR(DATEVALUE(Raw_Data!B131),"Invalid Date"))))</f>
        <v>45934</v>
      </c>
      <c r="C131" s="17" t="str">
        <f>IF(TRIM(Raw_Data!C131)="","",PROPER(TRIM(Raw_Data!C131)))</f>
        <v>Unit B - Artillery</v>
      </c>
      <c r="D131" s="17" t="str">
        <f>IF(TRIM(Raw_Data!D131)="","Not Specified",IFERROR(INDEX(Lookup_Tables!$H$6:$H$12,MATCH(TRIM(Raw_Data!D131),Lookup_Tables!$G$6:$G$12,0)),"Unknown - Review"))</f>
        <v>Southern</v>
      </c>
      <c r="E131" s="17" t="str">
        <f>IF(TRIM(Raw_Data!E131)="","Not Specified",IFERROR(INDEX(Lookup_Tables!$B$6:$B$18,MATCH(TRIM(Raw_Data!E131),Lookup_Tables!$A$6:$A$18,0)),"Unknown - Review"))</f>
        <v>Uniforms &amp; Clothing</v>
      </c>
      <c r="F131" s="17" t="str">
        <f>IF(TRIM(Raw_Data!F131)="","",TRIM(Raw_Data!F131))</f>
        <v>Woolen Gloves</v>
      </c>
      <c r="G131" s="17">
        <f>IF(Raw_Data!G131="","",IF(VALUE(Raw_Data!G131)&lt;=0,"Invalid",VALUE(Raw_Data!G131)))</f>
        <v>194</v>
      </c>
      <c r="H131" s="17">
        <f>IF(Raw_Data!H131="","",IF(VALUE(Raw_Data!H131)&lt;=0,"Invalid",VALUE(Raw_Data!H131)))</f>
        <v>160</v>
      </c>
      <c r="I131" s="23">
        <f>IFERROR(VALUE(SUBSTITUTE(SUBSTITUTE(Raw_Data!I131,"₹",""),",","")),"")</f>
        <v>42238</v>
      </c>
      <c r="J131" s="17" t="str">
        <f>IF(TRIM(Raw_Data!J131)="","Not Specified",PROPER(TRIM(Raw_Data!J131)))</f>
        <v>Routine</v>
      </c>
      <c r="K131" s="17" t="str">
        <f>IF(TRIM(Raw_Data!K131)="","Not Specified",IFERROR(INDEX(Lookup_Tables!$E$6:$E$13,MATCH(TRIM(Raw_Data!K131),Lookup_Tables!$D$6:$D$13,0)),"Unknown - Review"))</f>
        <v>Delivered</v>
      </c>
      <c r="L131" s="17" t="str">
        <f>IF(TRIM(Raw_Data!L131)="","",PROPER(TRIM(Raw_Data!L131)))</f>
        <v>Unit Commander</v>
      </c>
      <c r="M131" s="22" t="str">
        <f>IF(Raw_Data!M131="","",IF(ISNUMBER(Raw_Data!M131),Raw_Data!M131,IF(ISNUMBER(SEARCH("/",Raw_Data!M131)),IFERROR(DATE(VALUE(RIGHT(Raw_Data!M131,4)),VALUE(MID(Raw_Data!M131,4,2)),VALUE(LEFT(Raw_Data!M131,2))),"Invalid Date"),IFERROR(DATEVALUE(Raw_Data!M131),"Invalid Date"))))</f>
        <v/>
      </c>
      <c r="N131" s="22">
        <f>IF(Raw_Data!N131="","",IF(ISNUMBER(Raw_Data!N131),Raw_Data!N131,IF(ISNUMBER(SEARCH("/",Raw_Data!N131)),IFERROR(DATE(VALUE(RIGHT(Raw_Data!N131,4)),VALUE(MID(Raw_Data!N131,4,2)),VALUE(LEFT(Raw_Data!N131,2))),"Invalid Date"),IFERROR(DATEVALUE(Raw_Data!N131),"Invalid Date"))))</f>
        <v>45972</v>
      </c>
      <c r="O131" s="22" t="str">
        <f>IF(Raw_Data!O131="","",IF(ISNUMBER(Raw_Data!O131),Raw_Data!O131,IF(ISNUMBER(SEARCH("/",Raw_Data!O131)),IFERROR(DATE(VALUE(RIGHT(Raw_Data!O131,4)),VALUE(MID(Raw_Data!O131,4,2)),VALUE(LEFT(Raw_Data!O131,2))),"Invalid Date"),IFERROR(DATEVALUE(Raw_Data!O131),"Invalid Date"))))</f>
        <v/>
      </c>
      <c r="P131" s="17" t="str">
        <f>IF(OR(TRIM(Raw_Data!P131)="",TRIM(Raw_Data!P131)="N/A",TRIM(Raw_Data!P131)="TBD",TRIM(Raw_Data!P131)="-"),"Not Assigned",PROPER(TRIM(Raw_Data!P131)))</f>
        <v>Rapid Vendors Ltd</v>
      </c>
      <c r="Q131" s="24">
        <f t="shared" si="12"/>
        <v>6758080</v>
      </c>
      <c r="R131" s="17" t="str">
        <f t="shared" si="13"/>
        <v/>
      </c>
      <c r="S131" s="17" t="str">
        <f>IF(COUNTIF($A$2:A131,A131)&gt;1,"Duplicate","Unique")</f>
        <v>Unique</v>
      </c>
      <c r="T131" s="17" t="str">
        <f t="shared" si="14"/>
        <v>No</v>
      </c>
      <c r="U131" s="17" t="str">
        <f t="shared" si="15"/>
        <v>No</v>
      </c>
      <c r="V131" s="17" t="str">
        <f t="shared" si="16"/>
        <v>Yes</v>
      </c>
      <c r="W131" s="17" t="str">
        <f t="shared" si="17"/>
        <v>Oct-2025</v>
      </c>
    </row>
    <row r="132" spans="1:23" x14ac:dyDescent="0.3">
      <c r="A132" s="17" t="str">
        <f>TRIM(Raw_Data!A132)</f>
        <v>REQ-2025-0131</v>
      </c>
      <c r="B132" s="22">
        <f>IF(Raw_Data!B132="","",IF(ISNUMBER(Raw_Data!B132),Raw_Data!B132,IF(ISNUMBER(SEARCH("/",Raw_Data!B132)),IFERROR(DATE(VALUE(RIGHT(Raw_Data!B132,4)),VALUE(MID(Raw_Data!B132,4,2)),VALUE(LEFT(Raw_Data!B132,2))),"Invalid Date"),IFERROR(DATEVALUE(Raw_Data!B132),"Invalid Date"))))</f>
        <v>45843</v>
      </c>
      <c r="C132" s="17" t="str">
        <f>IF(TRIM(Raw_Data!C132)="","",PROPER(TRIM(Raw_Data!C132)))</f>
        <v>Unit G - Transport Corps</v>
      </c>
      <c r="D132" s="17" t="str">
        <f>IF(TRIM(Raw_Data!D132)="","Not Specified",IFERROR(INDEX(Lookup_Tables!$H$6:$H$12,MATCH(TRIM(Raw_Data!D132),Lookup_Tables!$G$6:$G$12,0)),"Unknown - Review"))</f>
        <v>Southern</v>
      </c>
      <c r="E132" s="17" t="str">
        <f>IF(TRIM(Raw_Data!E132)="","Not Specified",IFERROR(INDEX(Lookup_Tables!$B$6:$B$18,MATCH(TRIM(Raw_Data!E132),Lookup_Tables!$A$6:$A$18,0)),"Unknown - Review"))</f>
        <v>Fuel &amp; Lubricants</v>
      </c>
      <c r="F132" s="17" t="str">
        <f>IF(TRIM(Raw_Data!F132)="","",TRIM(Raw_Data!F132))</f>
        <v>Hydraulic Fluid (20L)</v>
      </c>
      <c r="G132" s="17">
        <f>IF(Raw_Data!G132="","",IF(VALUE(Raw_Data!G132)&lt;=0,"Invalid",VALUE(Raw_Data!G132)))</f>
        <v>138</v>
      </c>
      <c r="H132" s="17" t="str">
        <f>IF(Raw_Data!H132="","",IF(VALUE(Raw_Data!H132)&lt;=0,"Invalid",VALUE(Raw_Data!H132)))</f>
        <v/>
      </c>
      <c r="I132" s="23">
        <f>IFERROR(VALUE(SUBSTITUTE(SUBSTITUTE(Raw_Data!I132,"₹",""),",","")),"")</f>
        <v>19146.740000000002</v>
      </c>
      <c r="J132" s="17" t="str">
        <f>IF(TRIM(Raw_Data!J132)="","Not Specified",PROPER(TRIM(Raw_Data!J132)))</f>
        <v>Routine</v>
      </c>
      <c r="K132" s="17" t="str">
        <f>IF(TRIM(Raw_Data!K132)="","Not Specified",IFERROR(INDEX(Lookup_Tables!$E$6:$E$13,MATCH(TRIM(Raw_Data!K132),Lookup_Tables!$D$6:$D$13,0)),"Unknown - Review"))</f>
        <v>Pending</v>
      </c>
      <c r="L132" s="17" t="str">
        <f>IF(TRIM(Raw_Data!L132)="","",PROPER(TRIM(Raw_Data!L132)))</f>
        <v>Stores Officer</v>
      </c>
      <c r="M132" s="22" t="str">
        <f>IF(Raw_Data!M132="","",IF(ISNUMBER(Raw_Data!M132),Raw_Data!M132,IF(ISNUMBER(SEARCH("/",Raw_Data!M132)),IFERROR(DATE(VALUE(RIGHT(Raw_Data!M132,4)),VALUE(MID(Raw_Data!M132,4,2)),VALUE(LEFT(Raw_Data!M132,2))),"Invalid Date"),IFERROR(DATEVALUE(Raw_Data!M132),"Invalid Date"))))</f>
        <v/>
      </c>
      <c r="N132" s="22" t="str">
        <f>IF(Raw_Data!N132="","",IF(ISNUMBER(Raw_Data!N132),Raw_Data!N132,IF(ISNUMBER(SEARCH("/",Raw_Data!N132)),IFERROR(DATE(VALUE(RIGHT(Raw_Data!N132,4)),VALUE(MID(Raw_Data!N132,4,2)),VALUE(LEFT(Raw_Data!N132,2))),"Invalid Date"),IFERROR(DATEVALUE(Raw_Data!N132),"Invalid Date"))))</f>
        <v/>
      </c>
      <c r="O132" s="22" t="str">
        <f>IF(Raw_Data!O132="","",IF(ISNUMBER(Raw_Data!O132),Raw_Data!O132,IF(ISNUMBER(SEARCH("/",Raw_Data!O132)),IFERROR(DATE(VALUE(RIGHT(Raw_Data!O132,4)),VALUE(MID(Raw_Data!O132,4,2)),VALUE(LEFT(Raw_Data!O132,2))),"Invalid Date"),IFERROR(DATEVALUE(Raw_Data!O132),"Invalid Date"))))</f>
        <v/>
      </c>
      <c r="P132" s="17" t="str">
        <f>IF(OR(TRIM(Raw_Data!P132)="",TRIM(Raw_Data!P132)="N/A",TRIM(Raw_Data!P132)="TBD",TRIM(Raw_Data!P132)="-"),"Not Assigned",PROPER(TRIM(Raw_Data!P132)))</f>
        <v>Shakti Traders</v>
      </c>
      <c r="Q132" s="24" t="str">
        <f t="shared" si="12"/>
        <v/>
      </c>
      <c r="R132" s="17" t="str">
        <f t="shared" si="13"/>
        <v/>
      </c>
      <c r="S132" s="17" t="str">
        <f>IF(COUNTIF($A$2:A132,A132)&gt;1,"Duplicate","Unique")</f>
        <v>Unique</v>
      </c>
      <c r="T132" s="17" t="str">
        <f t="shared" si="14"/>
        <v>No</v>
      </c>
      <c r="U132" s="17" t="str">
        <f t="shared" si="15"/>
        <v>No</v>
      </c>
      <c r="V132" s="17" t="str">
        <f t="shared" si="16"/>
        <v>Yes</v>
      </c>
      <c r="W132" s="17" t="str">
        <f t="shared" si="17"/>
        <v>Jul-2025</v>
      </c>
    </row>
    <row r="133" spans="1:23" x14ac:dyDescent="0.3">
      <c r="A133" s="17" t="str">
        <f>TRIM(Raw_Data!A133)</f>
        <v>REQ-2025-0132</v>
      </c>
      <c r="B133" s="22" t="str">
        <f>IF(Raw_Data!B133="","",IF(ISNUMBER(Raw_Data!B133),Raw_Data!B133,IF(ISNUMBER(SEARCH("/",Raw_Data!B133)),IFERROR(DATE(VALUE(RIGHT(Raw_Data!B133,4)),VALUE(MID(Raw_Data!B133,4,2)),VALUE(LEFT(Raw_Data!B133,2))),"Invalid Date"),IFERROR(DATEVALUE(Raw_Data!B133),"Invalid Date"))))</f>
        <v/>
      </c>
      <c r="C133" s="17" t="str">
        <f>IF(TRIM(Raw_Data!C133)="","",PROPER(TRIM(Raw_Data!C133)))</f>
        <v>Unit D - Signals</v>
      </c>
      <c r="D133" s="17" t="str">
        <f>IF(TRIM(Raw_Data!D133)="","Not Specified",IFERROR(INDEX(Lookup_Tables!$H$6:$H$12,MATCH(TRIM(Raw_Data!D133),Lookup_Tables!$G$6:$G$12,0)),"Unknown - Review"))</f>
        <v>Western</v>
      </c>
      <c r="E133" s="17" t="str">
        <f>IF(TRIM(Raw_Data!E133)="","Not Specified",IFERROR(INDEX(Lookup_Tables!$B$6:$B$18,MATCH(TRIM(Raw_Data!E133),Lookup_Tables!$A$6:$A$18,0)),"Unknown - Review"))</f>
        <v>Uniforms &amp; Clothing</v>
      </c>
      <c r="F133" s="17" t="str">
        <f>IF(TRIM(Raw_Data!F133)="","",TRIM(Raw_Data!F133))</f>
        <v>Combat Uniform Set</v>
      </c>
      <c r="G133" s="17">
        <f>IF(Raw_Data!G133="","",IF(VALUE(Raw_Data!G133)&lt;=0,"Invalid",VALUE(Raw_Data!G133)))</f>
        <v>87</v>
      </c>
      <c r="H133" s="17">
        <f>IF(Raw_Data!H133="","",IF(VALUE(Raw_Data!H133)&lt;=0,"Invalid",VALUE(Raw_Data!H133)))</f>
        <v>81</v>
      </c>
      <c r="I133" s="23">
        <f>IFERROR(VALUE(SUBSTITUTE(SUBSTITUTE(Raw_Data!I133,"₹",""),",","")),"")</f>
        <v>37073.01</v>
      </c>
      <c r="J133" s="17" t="str">
        <f>IF(TRIM(Raw_Data!J133)="","Not Specified",PROPER(TRIM(Raw_Data!J133)))</f>
        <v>Low</v>
      </c>
      <c r="K133" s="17" t="str">
        <f>IF(TRIM(Raw_Data!K133)="","Not Specified",IFERROR(INDEX(Lookup_Tables!$E$6:$E$13,MATCH(TRIM(Raw_Data!K133),Lookup_Tables!$D$6:$D$13,0)),"Unknown - Review"))</f>
        <v>Dispatched</v>
      </c>
      <c r="L133" s="17" t="str">
        <f>IF(TRIM(Raw_Data!L133)="","",PROPER(TRIM(Raw_Data!L133)))</f>
        <v>Quartermaster</v>
      </c>
      <c r="M133" s="22">
        <f>IF(Raw_Data!M133="","",IF(ISNUMBER(Raw_Data!M133),Raw_Data!M133,IF(ISNUMBER(SEARCH("/",Raw_Data!M133)),IFERROR(DATE(VALUE(RIGHT(Raw_Data!M133,4)),VALUE(MID(Raw_Data!M133,4,2)),VALUE(LEFT(Raw_Data!M133,2))),"Invalid Date"),IFERROR(DATEVALUE(Raw_Data!M133),"Invalid Date"))))</f>
        <v>45775</v>
      </c>
      <c r="N133" s="22">
        <f>IF(Raw_Data!N133="","",IF(ISNUMBER(Raw_Data!N133),Raw_Data!N133,IF(ISNUMBER(SEARCH("/",Raw_Data!N133)),IFERROR(DATE(VALUE(RIGHT(Raw_Data!N133,4)),VALUE(MID(Raw_Data!N133,4,2)),VALUE(LEFT(Raw_Data!N133,2))),"Invalid Date"),IFERROR(DATEVALUE(Raw_Data!N133),"Invalid Date"))))</f>
        <v>45799</v>
      </c>
      <c r="O133" s="22" t="str">
        <f>IF(Raw_Data!O133="","",IF(ISNUMBER(Raw_Data!O133),Raw_Data!O133,IF(ISNUMBER(SEARCH("/",Raw_Data!O133)),IFERROR(DATE(VALUE(RIGHT(Raw_Data!O133,4)),VALUE(MID(Raw_Data!O133,4,2)),VALUE(LEFT(Raw_Data!O133,2))),"Invalid Date"),IFERROR(DATEVALUE(Raw_Data!O133),"Invalid Date"))))</f>
        <v/>
      </c>
      <c r="P133" s="17" t="str">
        <f>IF(OR(TRIM(Raw_Data!P133)="",TRIM(Raw_Data!P133)="N/A",TRIM(Raw_Data!P133)="TBD",TRIM(Raw_Data!P133)="-"),"Not Assigned",PROPER(TRIM(Raw_Data!P133)))</f>
        <v>Rapid Vendors Ltd</v>
      </c>
      <c r="Q133" s="24">
        <f t="shared" si="12"/>
        <v>3002913.81</v>
      </c>
      <c r="R133" s="17" t="str">
        <f t="shared" si="13"/>
        <v/>
      </c>
      <c r="S133" s="17" t="str">
        <f>IF(COUNTIF($A$2:A133,A133)&gt;1,"Duplicate","Unique")</f>
        <v>Unique</v>
      </c>
      <c r="T133" s="17" t="str">
        <f t="shared" si="14"/>
        <v>No</v>
      </c>
      <c r="U133" s="17" t="str">
        <f t="shared" si="15"/>
        <v>No</v>
      </c>
      <c r="V133" s="17" t="str">
        <f t="shared" si="16"/>
        <v>Yes</v>
      </c>
      <c r="W133" s="17" t="str">
        <f t="shared" si="17"/>
        <v/>
      </c>
    </row>
    <row r="134" spans="1:23" x14ac:dyDescent="0.3">
      <c r="A134" s="17" t="str">
        <f>TRIM(Raw_Data!A134)</f>
        <v>REQ-2025-0133</v>
      </c>
      <c r="B134" s="22">
        <f>IF(Raw_Data!B134="","",IF(ISNUMBER(Raw_Data!B134),Raw_Data!B134,IF(ISNUMBER(SEARCH("/",Raw_Data!B134)),IFERROR(DATE(VALUE(RIGHT(Raw_Data!B134,4)),VALUE(MID(Raw_Data!B134,4,2)),VALUE(LEFT(Raw_Data!B134,2))),"Invalid Date"),IFERROR(DATEVALUE(Raw_Data!B134),"Invalid Date"))))</f>
        <v>46015</v>
      </c>
      <c r="C134" s="17" t="str">
        <f>IF(TRIM(Raw_Data!C134)="","",PROPER(TRIM(Raw_Data!C134)))</f>
        <v>Unit E - Medical Corps</v>
      </c>
      <c r="D134" s="17" t="str">
        <f>IF(TRIM(Raw_Data!D134)="","Not Specified",IFERROR(INDEX(Lookup_Tables!$H$6:$H$12,MATCH(TRIM(Raw_Data!D134),Lookup_Tables!$G$6:$G$12,0)),"Unknown - Review"))</f>
        <v>Central</v>
      </c>
      <c r="E134" s="17" t="str">
        <f>IF(TRIM(Raw_Data!E134)="","Not Specified",IFERROR(INDEX(Lookup_Tables!$B$6:$B$18,MATCH(TRIM(Raw_Data!E134),Lookup_Tables!$A$6:$A$18,0)),"Unknown - Review"))</f>
        <v>Tents &amp; Shelter</v>
      </c>
      <c r="F134" s="17" t="str">
        <f>IF(TRIM(Raw_Data!F134)="","",TRIM(Raw_Data!F134))</f>
        <v>Ground Sheet</v>
      </c>
      <c r="G134" s="17">
        <f>IF(Raw_Data!G134="","",IF(VALUE(Raw_Data!G134)&lt;=0,"Invalid",VALUE(Raw_Data!G134)))</f>
        <v>189</v>
      </c>
      <c r="H134" s="17">
        <f>IF(Raw_Data!H134="","",IF(VALUE(Raw_Data!H134)&lt;=0,"Invalid",VALUE(Raw_Data!H134)))</f>
        <v>216</v>
      </c>
      <c r="I134" s="23">
        <f>IFERROR(VALUE(SUBSTITUTE(SUBSTITUTE(Raw_Data!I134,"₹",""),",","")),"")</f>
        <v>44857.25</v>
      </c>
      <c r="J134" s="17" t="str">
        <f>IF(TRIM(Raw_Data!J134)="","Not Specified",PROPER(TRIM(Raw_Data!J134)))</f>
        <v>Medium</v>
      </c>
      <c r="K134" s="17" t="str">
        <f>IF(TRIM(Raw_Data!K134)="","Not Specified",IFERROR(INDEX(Lookup_Tables!$E$6:$E$13,MATCH(TRIM(Raw_Data!K134),Lookup_Tables!$D$6:$D$13,0)),"Unknown - Review"))</f>
        <v>Approved</v>
      </c>
      <c r="L134" s="17" t="str">
        <f>IF(TRIM(Raw_Data!L134)="","",PROPER(TRIM(Raw_Data!L134)))</f>
        <v>Quartermaster</v>
      </c>
      <c r="M134" s="22">
        <f>IF(Raw_Data!M134="","",IF(ISNUMBER(Raw_Data!M134),Raw_Data!M134,IF(ISNUMBER(SEARCH("/",Raw_Data!M134)),IFERROR(DATE(VALUE(RIGHT(Raw_Data!M134,4)),VALUE(MID(Raw_Data!M134,4,2)),VALUE(LEFT(Raw_Data!M134,2))),"Invalid Date"),IFERROR(DATEVALUE(Raw_Data!M134),"Invalid Date"))))</f>
        <v>46022</v>
      </c>
      <c r="N134" s="22">
        <f>IF(Raw_Data!N134="","",IF(ISNUMBER(Raw_Data!N134),Raw_Data!N134,IF(ISNUMBER(SEARCH("/",Raw_Data!N134)),IFERROR(DATE(VALUE(RIGHT(Raw_Data!N134,4)),VALUE(MID(Raw_Data!N134,4,2)),VALUE(LEFT(Raw_Data!N134,2))),"Invalid Date"),IFERROR(DATEVALUE(Raw_Data!N134),"Invalid Date"))))</f>
        <v>46038</v>
      </c>
      <c r="O134" s="22" t="str">
        <f>IF(Raw_Data!O134="","",IF(ISNUMBER(Raw_Data!O134),Raw_Data!O134,IF(ISNUMBER(SEARCH("/",Raw_Data!O134)),IFERROR(DATE(VALUE(RIGHT(Raw_Data!O134,4)),VALUE(MID(Raw_Data!O134,4,2)),VALUE(LEFT(Raw_Data!O134,2))),"Invalid Date"),IFERROR(DATEVALUE(Raw_Data!O134),"Invalid Date"))))</f>
        <v/>
      </c>
      <c r="P134" s="17" t="str">
        <f>IF(OR(TRIM(Raw_Data!P134)="",TRIM(Raw_Data!P134)="N/A",TRIM(Raw_Data!P134)="TBD",TRIM(Raw_Data!P134)="-"),"Not Assigned",PROPER(TRIM(Raw_Data!P134)))</f>
        <v>Not Assigned</v>
      </c>
      <c r="Q134" s="24">
        <f t="shared" si="12"/>
        <v>9689166</v>
      </c>
      <c r="R134" s="17" t="str">
        <f t="shared" si="13"/>
        <v/>
      </c>
      <c r="S134" s="17" t="str">
        <f>IF(COUNTIF($A$2:A134,A134)&gt;1,"Duplicate","Unique")</f>
        <v>Unique</v>
      </c>
      <c r="T134" s="17" t="str">
        <f t="shared" si="14"/>
        <v>No</v>
      </c>
      <c r="U134" s="17" t="str">
        <f t="shared" si="15"/>
        <v>Yes</v>
      </c>
      <c r="V134" s="17" t="str">
        <f t="shared" si="16"/>
        <v>No</v>
      </c>
      <c r="W134" s="17" t="str">
        <f t="shared" si="17"/>
        <v>Dec-2025</v>
      </c>
    </row>
    <row r="135" spans="1:23" x14ac:dyDescent="0.3">
      <c r="A135" s="17" t="str">
        <f>TRIM(Raw_Data!A135)</f>
        <v>REQ-2025-0134</v>
      </c>
      <c r="B135" s="22">
        <f>IF(Raw_Data!B135="","",IF(ISNUMBER(Raw_Data!B135),Raw_Data!B135,IF(ISNUMBER(SEARCH("/",Raw_Data!B135)),IFERROR(DATE(VALUE(RIGHT(Raw_Data!B135,4)),VALUE(MID(Raw_Data!B135,4,2)),VALUE(LEFT(Raw_Data!B135,2))),"Invalid Date"),IFERROR(DATEVALUE(Raw_Data!B135),"Invalid Date"))))</f>
        <v>45915</v>
      </c>
      <c r="C135" s="17" t="str">
        <f>IF(TRIM(Raw_Data!C135)="","",PROPER(TRIM(Raw_Data!C135)))</f>
        <v>Unit G - Transport Corps</v>
      </c>
      <c r="D135" s="17" t="str">
        <f>IF(TRIM(Raw_Data!D135)="","Not Specified",IFERROR(INDEX(Lookup_Tables!$H$6:$H$12,MATCH(TRIM(Raw_Data!D135),Lookup_Tables!$G$6:$G$12,0)),"Unknown - Review"))</f>
        <v>Southern</v>
      </c>
      <c r="E135" s="17" t="str">
        <f>IF(TRIM(Raw_Data!E135)="","Not Specified",IFERROR(INDEX(Lookup_Tables!$B$6:$B$18,MATCH(TRIM(Raw_Data!E135),Lookup_Tables!$A$6:$A$18,0)),"Unknown - Review"))</f>
        <v>Tents &amp; Shelter</v>
      </c>
      <c r="F135" s="17" t="str">
        <f>IF(TRIM(Raw_Data!F135)="","",TRIM(Raw_Data!F135))</f>
        <v>10-Man Tent</v>
      </c>
      <c r="G135" s="17">
        <f>IF(Raw_Data!G135="","",IF(VALUE(Raw_Data!G135)&lt;=0,"Invalid",VALUE(Raw_Data!G135)))</f>
        <v>453</v>
      </c>
      <c r="H135" s="17">
        <f>IF(Raw_Data!H135="","",IF(VALUE(Raw_Data!H135)&lt;=0,"Invalid",VALUE(Raw_Data!H135)))</f>
        <v>351</v>
      </c>
      <c r="I135" s="23" t="str">
        <f>IFERROR(VALUE(SUBSTITUTE(SUBSTITUTE(Raw_Data!I135,"₹",""),",","")),"")</f>
        <v/>
      </c>
      <c r="J135" s="17" t="str">
        <f>IF(TRIM(Raw_Data!J135)="","Not Specified",PROPER(TRIM(Raw_Data!J135)))</f>
        <v>High</v>
      </c>
      <c r="K135" s="17" t="str">
        <f>IF(TRIM(Raw_Data!K135)="","Not Specified",IFERROR(INDEX(Lookup_Tables!$E$6:$E$13,MATCH(TRIM(Raw_Data!K135),Lookup_Tables!$D$6:$D$13,0)),"Unknown - Review"))</f>
        <v>Approved</v>
      </c>
      <c r="L135" s="17" t="str">
        <f>IF(TRIM(Raw_Data!L135)="","",PROPER(TRIM(Raw_Data!L135)))</f>
        <v>Stores Officer</v>
      </c>
      <c r="M135" s="22">
        <f>IF(Raw_Data!M135="","",IF(ISNUMBER(Raw_Data!M135),Raw_Data!M135,IF(ISNUMBER(SEARCH("/",Raw_Data!M135)),IFERROR(DATE(VALUE(RIGHT(Raw_Data!M135,4)),VALUE(MID(Raw_Data!M135,4,2)),VALUE(LEFT(Raw_Data!M135,2))),"Invalid Date"),IFERROR(DATEVALUE(Raw_Data!M135),"Invalid Date"))))</f>
        <v>45922</v>
      </c>
      <c r="N135" s="22">
        <f>IF(Raw_Data!N135="","",IF(ISNUMBER(Raw_Data!N135),Raw_Data!N135,IF(ISNUMBER(SEARCH("/",Raw_Data!N135)),IFERROR(DATE(VALUE(RIGHT(Raw_Data!N135,4)),VALUE(MID(Raw_Data!N135,4,2)),VALUE(LEFT(Raw_Data!N135,2))),"Invalid Date"),IFERROR(DATEVALUE(Raw_Data!N135),"Invalid Date"))))</f>
        <v>45945</v>
      </c>
      <c r="O135" s="22" t="str">
        <f>IF(Raw_Data!O135="","",IF(ISNUMBER(Raw_Data!O135),Raw_Data!O135,IF(ISNUMBER(SEARCH("/",Raw_Data!O135)),IFERROR(DATE(VALUE(RIGHT(Raw_Data!O135,4)),VALUE(MID(Raw_Data!O135,4,2)),VALUE(LEFT(Raw_Data!O135,2))),"Invalid Date"),IFERROR(DATEVALUE(Raw_Data!O135),"Invalid Date"))))</f>
        <v/>
      </c>
      <c r="P135" s="17" t="str">
        <f>IF(OR(TRIM(Raw_Data!P135)="",TRIM(Raw_Data!P135)="N/A",TRIM(Raw_Data!P135)="TBD",TRIM(Raw_Data!P135)="-"),"Not Assigned",PROPER(TRIM(Raw_Data!P135)))</f>
        <v>Central Ordnance Suppliers</v>
      </c>
      <c r="Q135" s="24" t="str">
        <f t="shared" si="12"/>
        <v/>
      </c>
      <c r="R135" s="17" t="str">
        <f t="shared" si="13"/>
        <v/>
      </c>
      <c r="S135" s="17" t="str">
        <f>IF(COUNTIF($A$2:A135,A135)&gt;1,"Duplicate","Unique")</f>
        <v>Unique</v>
      </c>
      <c r="T135" s="17" t="str">
        <f t="shared" si="14"/>
        <v>No</v>
      </c>
      <c r="U135" s="17" t="str">
        <f t="shared" si="15"/>
        <v>No</v>
      </c>
      <c r="V135" s="17" t="str">
        <f t="shared" si="16"/>
        <v>Yes</v>
      </c>
      <c r="W135" s="17" t="str">
        <f t="shared" si="17"/>
        <v>Sep-2025</v>
      </c>
    </row>
    <row r="136" spans="1:23" x14ac:dyDescent="0.3">
      <c r="A136" s="17" t="str">
        <f>TRIM(Raw_Data!A136)</f>
        <v>REQ-2025-0135</v>
      </c>
      <c r="B136" s="22">
        <f>IF(Raw_Data!B136="","",IF(ISNUMBER(Raw_Data!B136),Raw_Data!B136,IF(ISNUMBER(SEARCH("/",Raw_Data!B136)),IFERROR(DATE(VALUE(RIGHT(Raw_Data!B136,4)),VALUE(MID(Raw_Data!B136,4,2)),VALUE(LEFT(Raw_Data!B136,2))),"Invalid Date"),IFERROR(DATEVALUE(Raw_Data!B136),"Invalid Date"))))</f>
        <v>46002</v>
      </c>
      <c r="C136" s="17" t="str">
        <f>IF(TRIM(Raw_Data!C136)="","",PROPER(TRIM(Raw_Data!C136)))</f>
        <v>Unit E - Medical Corps</v>
      </c>
      <c r="D136" s="17" t="str">
        <f>IF(TRIM(Raw_Data!D136)="","Not Specified",IFERROR(INDEX(Lookup_Tables!$H$6:$H$12,MATCH(TRIM(Raw_Data!D136),Lookup_Tables!$G$6:$G$12,0)),"Unknown - Review"))</f>
        <v>Central</v>
      </c>
      <c r="E136" s="17" t="str">
        <f>IF(TRIM(Raw_Data!E136)="","Not Specified",IFERROR(INDEX(Lookup_Tables!$B$6:$B$18,MATCH(TRIM(Raw_Data!E136),Lookup_Tables!$A$6:$A$18,0)),"Unknown - Review"))</f>
        <v>Vehicle Spares</v>
      </c>
      <c r="F136" s="17" t="str">
        <f>IF(TRIM(Raw_Data!F136)="","",TRIM(Raw_Data!F136))</f>
        <v>Radiator Assembly</v>
      </c>
      <c r="G136" s="17">
        <f>IF(Raw_Data!G136="","",IF(VALUE(Raw_Data!G136)&lt;=0,"Invalid",VALUE(Raw_Data!G136)))</f>
        <v>288</v>
      </c>
      <c r="H136" s="17">
        <f>IF(Raw_Data!H136="","",IF(VALUE(Raw_Data!H136)&lt;=0,"Invalid",VALUE(Raw_Data!H136)))</f>
        <v>232</v>
      </c>
      <c r="I136" s="23">
        <f>IFERROR(VALUE(SUBSTITUTE(SUBSTITUTE(Raw_Data!I136,"₹",""),",","")),"")</f>
        <v>40260</v>
      </c>
      <c r="J136" s="17" t="str">
        <f>IF(TRIM(Raw_Data!J136)="","Not Specified",PROPER(TRIM(Raw_Data!J136)))</f>
        <v>Low</v>
      </c>
      <c r="K136" s="17" t="str">
        <f>IF(TRIM(Raw_Data!K136)="","Not Specified",IFERROR(INDEX(Lookup_Tables!$E$6:$E$13,MATCH(TRIM(Raw_Data!K136),Lookup_Tables!$D$6:$D$13,0)),"Unknown - Review"))</f>
        <v>Delivered</v>
      </c>
      <c r="L136" s="17" t="str">
        <f>IF(TRIM(Raw_Data!L136)="","",PROPER(TRIM(Raw_Data!L136)))</f>
        <v>Quartermaster</v>
      </c>
      <c r="M136" s="22">
        <f>IF(Raw_Data!M136="","",IF(ISNUMBER(Raw_Data!M136),Raw_Data!M136,IF(ISNUMBER(SEARCH("/",Raw_Data!M136)),IFERROR(DATE(VALUE(RIGHT(Raw_Data!M136,4)),VALUE(MID(Raw_Data!M136,4,2)),VALUE(LEFT(Raw_Data!M136,2))),"Invalid Date"),IFERROR(DATEVALUE(Raw_Data!M136),"Invalid Date"))))</f>
        <v>46007</v>
      </c>
      <c r="N136" s="22">
        <f>IF(Raw_Data!N136="","",IF(ISNUMBER(Raw_Data!N136),Raw_Data!N136,IF(ISNUMBER(SEARCH("/",Raw_Data!N136)),IFERROR(DATE(VALUE(RIGHT(Raw_Data!N136,4)),VALUE(MID(Raw_Data!N136,4,2)),VALUE(LEFT(Raw_Data!N136,2))),"Invalid Date"),IFERROR(DATEVALUE(Raw_Data!N136),"Invalid Date"))))</f>
        <v>46017</v>
      </c>
      <c r="O136" s="22">
        <f>IF(Raw_Data!O136="","",IF(ISNUMBER(Raw_Data!O136),Raw_Data!O136,IF(ISNUMBER(SEARCH("/",Raw_Data!O136)),IFERROR(DATE(VALUE(RIGHT(Raw_Data!O136,4)),VALUE(MID(Raw_Data!O136,4,2)),VALUE(LEFT(Raw_Data!O136,2))),"Invalid Date"),IFERROR(DATEVALUE(Raw_Data!O136),"Invalid Date"))))</f>
        <v>46035</v>
      </c>
      <c r="P136" s="17" t="str">
        <f>IF(OR(TRIM(Raw_Data!P136)="",TRIM(Raw_Data!P136)="N/A",TRIM(Raw_Data!P136)="TBD",TRIM(Raw_Data!P136)="-"),"Not Assigned",PROPER(TRIM(Raw_Data!P136)))</f>
        <v>Not Assigned</v>
      </c>
      <c r="Q136" s="24">
        <f t="shared" si="12"/>
        <v>9340320</v>
      </c>
      <c r="R136" s="17">
        <f t="shared" si="13"/>
        <v>18</v>
      </c>
      <c r="S136" s="17" t="str">
        <f>IF(COUNTIF($A$2:A136,A136)&gt;1,"Duplicate","Unique")</f>
        <v>Unique</v>
      </c>
      <c r="T136" s="17" t="str">
        <f t="shared" si="14"/>
        <v>No</v>
      </c>
      <c r="U136" s="17" t="str">
        <f t="shared" si="15"/>
        <v>No</v>
      </c>
      <c r="V136" s="17" t="str">
        <f t="shared" si="16"/>
        <v>Yes</v>
      </c>
      <c r="W136" s="17" t="str">
        <f t="shared" si="17"/>
        <v>Dec-2025</v>
      </c>
    </row>
    <row r="137" spans="1:23" x14ac:dyDescent="0.3">
      <c r="A137" s="17" t="str">
        <f>TRIM(Raw_Data!A137)</f>
        <v>REQ-2025-0136</v>
      </c>
      <c r="B137" s="22">
        <f>IF(Raw_Data!B137="","",IF(ISNUMBER(Raw_Data!B137),Raw_Data!B137,IF(ISNUMBER(SEARCH("/",Raw_Data!B137)),IFERROR(DATE(VALUE(RIGHT(Raw_Data!B137,4)),VALUE(MID(Raw_Data!B137,4,2)),VALUE(LEFT(Raw_Data!B137,2))),"Invalid Date"),IFERROR(DATEVALUE(Raw_Data!B137),"Invalid Date"))))</f>
        <v>45798</v>
      </c>
      <c r="C137" s="17" t="str">
        <f>IF(TRIM(Raw_Data!C137)="","",PROPER(TRIM(Raw_Data!C137)))</f>
        <v>Unit F - Ordnance Depot</v>
      </c>
      <c r="D137" s="17" t="str">
        <f>IF(TRIM(Raw_Data!D137)="","Not Specified",IFERROR(INDEX(Lookup_Tables!$H$6:$H$12,MATCH(TRIM(Raw_Data!D137),Lookup_Tables!$G$6:$G$12,0)),"Unknown - Review"))</f>
        <v>Northern</v>
      </c>
      <c r="E137" s="17" t="str">
        <f>IF(TRIM(Raw_Data!E137)="","Not Specified",IFERROR(INDEX(Lookup_Tables!$B$6:$B$18,MATCH(TRIM(Raw_Data!E137),Lookup_Tables!$A$6:$A$18,0)),"Unknown - Review"))</f>
        <v>Office &amp; IT Equipment</v>
      </c>
      <c r="F137" s="17" t="str">
        <f>IF(TRIM(Raw_Data!F137)="","",TRIM(Raw_Data!F137))</f>
        <v>UPS Backup Unit</v>
      </c>
      <c r="G137" s="17">
        <f>IF(Raw_Data!G137="","",IF(VALUE(Raw_Data!G137)&lt;=0,"Invalid",VALUE(Raw_Data!G137)))</f>
        <v>118</v>
      </c>
      <c r="H137" s="17">
        <f>IF(Raw_Data!H137="","",IF(VALUE(Raw_Data!H137)&lt;=0,"Invalid",VALUE(Raw_Data!H137)))</f>
        <v>101</v>
      </c>
      <c r="I137" s="23">
        <f>IFERROR(VALUE(SUBSTITUTE(SUBSTITUTE(Raw_Data!I137,"₹",""),",","")),"")</f>
        <v>19129.439999999999</v>
      </c>
      <c r="J137" s="17" t="str">
        <f>IF(TRIM(Raw_Data!J137)="","Not Specified",PROPER(TRIM(Raw_Data!J137)))</f>
        <v>Not Specified</v>
      </c>
      <c r="K137" s="17" t="str">
        <f>IF(TRIM(Raw_Data!K137)="","Not Specified",IFERROR(INDEX(Lookup_Tables!$E$6:$E$13,MATCH(TRIM(Raw_Data!K137),Lookup_Tables!$D$6:$D$13,0)),"Unknown - Review"))</f>
        <v>Dispatched</v>
      </c>
      <c r="L137" s="17" t="str">
        <f>IF(TRIM(Raw_Data!L137)="","",PROPER(TRIM(Raw_Data!L137)))</f>
        <v>Unit Commander</v>
      </c>
      <c r="M137" s="22">
        <f>IF(Raw_Data!M137="","",IF(ISNUMBER(Raw_Data!M137),Raw_Data!M137,IF(ISNUMBER(SEARCH("/",Raw_Data!M137)),IFERROR(DATE(VALUE(RIGHT(Raw_Data!M137,4)),VALUE(MID(Raw_Data!M137,4,2)),VALUE(LEFT(Raw_Data!M137,2))),"Invalid Date"),IFERROR(DATEVALUE(Raw_Data!M137),"Invalid Date"))))</f>
        <v>45807</v>
      </c>
      <c r="N137" s="22">
        <f>IF(Raw_Data!N137="","",IF(ISNUMBER(Raw_Data!N137),Raw_Data!N137,IF(ISNUMBER(SEARCH("/",Raw_Data!N137)),IFERROR(DATE(VALUE(RIGHT(Raw_Data!N137,4)),VALUE(MID(Raw_Data!N137,4,2)),VALUE(LEFT(Raw_Data!N137,2))),"Invalid Date"),IFERROR(DATEVALUE(Raw_Data!N137),"Invalid Date"))))</f>
        <v>45813</v>
      </c>
      <c r="O137" s="22" t="str">
        <f>IF(Raw_Data!O137="","",IF(ISNUMBER(Raw_Data!O137),Raw_Data!O137,IF(ISNUMBER(SEARCH("/",Raw_Data!O137)),IFERROR(DATE(VALUE(RIGHT(Raw_Data!O137,4)),VALUE(MID(Raw_Data!O137,4,2)),VALUE(LEFT(Raw_Data!O137,2))),"Invalid Date"),IFERROR(DATEVALUE(Raw_Data!O137),"Invalid Date"))))</f>
        <v/>
      </c>
      <c r="P137" s="17" t="str">
        <f>IF(OR(TRIM(Raw_Data!P137)="",TRIM(Raw_Data!P137)="N/A",TRIM(Raw_Data!P137)="TBD",TRIM(Raw_Data!P137)="-"),"Not Assigned",PROPER(TRIM(Raw_Data!P137)))</f>
        <v>Om Suppliers</v>
      </c>
      <c r="Q137" s="24">
        <f t="shared" si="12"/>
        <v>1932073.44</v>
      </c>
      <c r="R137" s="17" t="str">
        <f t="shared" si="13"/>
        <v/>
      </c>
      <c r="S137" s="17" t="str">
        <f>IF(COUNTIF($A$2:A137,A137)&gt;1,"Duplicate","Unique")</f>
        <v>Unique</v>
      </c>
      <c r="T137" s="17" t="str">
        <f t="shared" si="14"/>
        <v>No</v>
      </c>
      <c r="U137" s="17" t="str">
        <f t="shared" si="15"/>
        <v>No</v>
      </c>
      <c r="V137" s="17" t="str">
        <f t="shared" si="16"/>
        <v>Yes</v>
      </c>
      <c r="W137" s="17" t="str">
        <f t="shared" si="17"/>
        <v>May-2025</v>
      </c>
    </row>
    <row r="138" spans="1:23" x14ac:dyDescent="0.3">
      <c r="A138" s="17" t="str">
        <f>TRIM(Raw_Data!A138)</f>
        <v>REQ-2025-0137</v>
      </c>
      <c r="B138" s="22">
        <f>IF(Raw_Data!B138="","",IF(ISNUMBER(Raw_Data!B138),Raw_Data!B138,IF(ISNUMBER(SEARCH("/",Raw_Data!B138)),IFERROR(DATE(VALUE(RIGHT(Raw_Data!B138,4)),VALUE(MID(Raw_Data!B138,4,2)),VALUE(LEFT(Raw_Data!B138,2))),"Invalid Date"),IFERROR(DATEVALUE(Raw_Data!B138),"Invalid Date"))))</f>
        <v>45765</v>
      </c>
      <c r="C138" s="17" t="str">
        <f>IF(TRIM(Raw_Data!C138)="","",PROPER(TRIM(Raw_Data!C138)))</f>
        <v>Unit F - Ordnance Depot</v>
      </c>
      <c r="D138" s="17" t="str">
        <f>IF(TRIM(Raw_Data!D138)="","Not Specified",IFERROR(INDEX(Lookup_Tables!$H$6:$H$12,MATCH(TRIM(Raw_Data!D138),Lookup_Tables!$G$6:$G$12,0)),"Unknown - Review"))</f>
        <v>Northern</v>
      </c>
      <c r="E138" s="17" t="str">
        <f>IF(TRIM(Raw_Data!E138)="","Not Specified",IFERROR(INDEX(Lookup_Tables!$B$6:$B$18,MATCH(TRIM(Raw_Data!E138),Lookup_Tables!$A$6:$A$18,0)),"Unknown - Review"))</f>
        <v>Office &amp; IT Equipment</v>
      </c>
      <c r="F138" s="17" t="str">
        <f>IF(TRIM(Raw_Data!F138)="","",TRIM(Raw_Data!F138))</f>
        <v>Filing Cabinet</v>
      </c>
      <c r="G138" s="17">
        <f>IF(Raw_Data!G138="","",IF(VALUE(Raw_Data!G138)&lt;=0,"Invalid",VALUE(Raw_Data!G138)))</f>
        <v>442</v>
      </c>
      <c r="H138" s="17" t="str">
        <f>IF(Raw_Data!H138="","",IF(VALUE(Raw_Data!H138)&lt;=0,"Invalid",VALUE(Raw_Data!H138)))</f>
        <v/>
      </c>
      <c r="I138" s="23">
        <f>IFERROR(VALUE(SUBSTITUTE(SUBSTITUTE(Raw_Data!I138,"₹",""),",","")),"")</f>
        <v>25777.73</v>
      </c>
      <c r="J138" s="17" t="str">
        <f>IF(TRIM(Raw_Data!J138)="","Not Specified",PROPER(TRIM(Raw_Data!J138)))</f>
        <v>Low</v>
      </c>
      <c r="K138" s="17" t="str">
        <f>IF(TRIM(Raw_Data!K138)="","Not Specified",IFERROR(INDEX(Lookup_Tables!$E$6:$E$13,MATCH(TRIM(Raw_Data!K138),Lookup_Tables!$D$6:$D$13,0)),"Unknown - Review"))</f>
        <v>Not Specified</v>
      </c>
      <c r="L138" s="17" t="str">
        <f>IF(TRIM(Raw_Data!L138)="","",PROPER(TRIM(Raw_Data!L138)))</f>
        <v>Stores Officer</v>
      </c>
      <c r="M138" s="22" t="str">
        <f>IF(Raw_Data!M138="","",IF(ISNUMBER(Raw_Data!M138),Raw_Data!M138,IF(ISNUMBER(SEARCH("/",Raw_Data!M138)),IFERROR(DATE(VALUE(RIGHT(Raw_Data!M138,4)),VALUE(MID(Raw_Data!M138,4,2)),VALUE(LEFT(Raw_Data!M138,2))),"Invalid Date"),IFERROR(DATEVALUE(Raw_Data!M138),"Invalid Date"))))</f>
        <v/>
      </c>
      <c r="N138" s="22" t="str">
        <f>IF(Raw_Data!N138="","",IF(ISNUMBER(Raw_Data!N138),Raw_Data!N138,IF(ISNUMBER(SEARCH("/",Raw_Data!N138)),IFERROR(DATE(VALUE(RIGHT(Raw_Data!N138,4)),VALUE(MID(Raw_Data!N138,4,2)),VALUE(LEFT(Raw_Data!N138,2))),"Invalid Date"),IFERROR(DATEVALUE(Raw_Data!N138),"Invalid Date"))))</f>
        <v/>
      </c>
      <c r="O138" s="22" t="str">
        <f>IF(Raw_Data!O138="","",IF(ISNUMBER(Raw_Data!O138),Raw_Data!O138,IF(ISNUMBER(SEARCH("/",Raw_Data!O138)),IFERROR(DATE(VALUE(RIGHT(Raw_Data!O138,4)),VALUE(MID(Raw_Data!O138,4,2)),VALUE(LEFT(Raw_Data!O138,2))),"Invalid Date"),IFERROR(DATEVALUE(Raw_Data!O138),"Invalid Date"))))</f>
        <v/>
      </c>
      <c r="P138" s="17" t="str">
        <f>IF(OR(TRIM(Raw_Data!P138)="",TRIM(Raw_Data!P138)="N/A",TRIM(Raw_Data!P138)="TBD",TRIM(Raw_Data!P138)="-"),"Not Assigned",PROPER(TRIM(Raw_Data!P138)))</f>
        <v>Vikram Enterprises</v>
      </c>
      <c r="Q138" s="24" t="str">
        <f t="shared" si="12"/>
        <v/>
      </c>
      <c r="R138" s="17" t="str">
        <f t="shared" si="13"/>
        <v/>
      </c>
      <c r="S138" s="17" t="str">
        <f>IF(COUNTIF($A$2:A138,A138)&gt;1,"Duplicate","Unique")</f>
        <v>Unique</v>
      </c>
      <c r="T138" s="17" t="str">
        <f t="shared" si="14"/>
        <v>Yes</v>
      </c>
      <c r="U138" s="17" t="str">
        <f t="shared" si="15"/>
        <v>No</v>
      </c>
      <c r="V138" s="17" t="str">
        <f t="shared" si="16"/>
        <v>No</v>
      </c>
      <c r="W138" s="17" t="str">
        <f t="shared" si="17"/>
        <v>Apr-2025</v>
      </c>
    </row>
    <row r="139" spans="1:23" x14ac:dyDescent="0.3">
      <c r="A139" s="17" t="str">
        <f>TRIM(Raw_Data!A139)</f>
        <v>REQ-2025-0138</v>
      </c>
      <c r="B139" s="22">
        <f>IF(Raw_Data!B139="","",IF(ISNUMBER(Raw_Data!B139),Raw_Data!B139,IF(ISNUMBER(SEARCH("/",Raw_Data!B139)),IFERROR(DATE(VALUE(RIGHT(Raw_Data!B139,4)),VALUE(MID(Raw_Data!B139,4,2)),VALUE(LEFT(Raw_Data!B139,2))),"Invalid Date"),IFERROR(DATEVALUE(Raw_Data!B139),"Invalid Date"))))</f>
        <v>45945</v>
      </c>
      <c r="C139" s="17" t="str">
        <f>IF(TRIM(Raw_Data!C139)="","",PROPER(TRIM(Raw_Data!C139)))</f>
        <v>Unit F - Ordnance Depot</v>
      </c>
      <c r="D139" s="17" t="str">
        <f>IF(TRIM(Raw_Data!D139)="","Not Specified",IFERROR(INDEX(Lookup_Tables!$H$6:$H$12,MATCH(TRIM(Raw_Data!D139),Lookup_Tables!$G$6:$G$12,0)),"Unknown - Review"))</f>
        <v>Northern</v>
      </c>
      <c r="E139" s="17" t="str">
        <f>IF(TRIM(Raw_Data!E139)="","Not Specified",IFERROR(INDEX(Lookup_Tables!$B$6:$B$18,MATCH(TRIM(Raw_Data!E139),Lookup_Tables!$A$6:$A$18,0)),"Unknown - Review"))</f>
        <v>Communication Equipment</v>
      </c>
      <c r="F139" s="17" t="str">
        <f>IF(TRIM(Raw_Data!F139)="","",TRIM(Raw_Data!F139))</f>
        <v>Battery Pack (Radio)</v>
      </c>
      <c r="G139" s="17">
        <f>IF(Raw_Data!G139="","",IF(VALUE(Raw_Data!G139)&lt;=0,"Invalid",VALUE(Raw_Data!G139)))</f>
        <v>55</v>
      </c>
      <c r="H139" s="17">
        <f>IF(Raw_Data!H139="","",IF(VALUE(Raw_Data!H139)&lt;=0,"Invalid",VALUE(Raw_Data!H139)))</f>
        <v>51</v>
      </c>
      <c r="I139" s="23">
        <f>IFERROR(VALUE(SUBSTITUTE(SUBSTITUTE(Raw_Data!I139,"₹",""),",","")),"")</f>
        <v>21522.79</v>
      </c>
      <c r="J139" s="17" t="str">
        <f>IF(TRIM(Raw_Data!J139)="","Not Specified",PROPER(TRIM(Raw_Data!J139)))</f>
        <v>High</v>
      </c>
      <c r="K139" s="17" t="str">
        <f>IF(TRIM(Raw_Data!K139)="","Not Specified",IFERROR(INDEX(Lookup_Tables!$E$6:$E$13,MATCH(TRIM(Raw_Data!K139),Lookup_Tables!$D$6:$D$13,0)),"Unknown - Review"))</f>
        <v>Delivered</v>
      </c>
      <c r="L139" s="17" t="str">
        <f>IF(TRIM(Raw_Data!L139)="","",PROPER(TRIM(Raw_Data!L139)))</f>
        <v>Unit Commander</v>
      </c>
      <c r="M139" s="22">
        <f>IF(Raw_Data!M139="","",IF(ISNUMBER(Raw_Data!M139),Raw_Data!M139,IF(ISNUMBER(SEARCH("/",Raw_Data!M139)),IFERROR(DATE(VALUE(RIGHT(Raw_Data!M139,4)),VALUE(MID(Raw_Data!M139,4,2)),VALUE(LEFT(Raw_Data!M139,2))),"Invalid Date"),IFERROR(DATEVALUE(Raw_Data!M139),"Invalid Date"))))</f>
        <v>45947</v>
      </c>
      <c r="N139" s="22">
        <f>IF(Raw_Data!N139="","",IF(ISNUMBER(Raw_Data!N139),Raw_Data!N139,IF(ISNUMBER(SEARCH("/",Raw_Data!N139)),IFERROR(DATE(VALUE(RIGHT(Raw_Data!N139,4)),VALUE(MID(Raw_Data!N139,4,2)),VALUE(LEFT(Raw_Data!N139,2))),"Invalid Date"),IFERROR(DATEVALUE(Raw_Data!N139),"Invalid Date"))))</f>
        <v>45966</v>
      </c>
      <c r="O139" s="22">
        <f>IF(Raw_Data!O139="","",IF(ISNUMBER(Raw_Data!O139),Raw_Data!O139,IF(ISNUMBER(SEARCH("/",Raw_Data!O139)),IFERROR(DATE(VALUE(RIGHT(Raw_Data!O139,4)),VALUE(MID(Raw_Data!O139,4,2)),VALUE(LEFT(Raw_Data!O139,2))),"Invalid Date"),IFERROR(DATEVALUE(Raw_Data!O139),"Invalid Date"))))</f>
        <v>45984</v>
      </c>
      <c r="P139" s="17" t="str">
        <f>IF(OR(TRIM(Raw_Data!P139)="",TRIM(Raw_Data!P139)="N/A",TRIM(Raw_Data!P139)="TBD",TRIM(Raw_Data!P139)="-"),"Not Assigned",PROPER(TRIM(Raw_Data!P139)))</f>
        <v>Om Suppliers</v>
      </c>
      <c r="Q139" s="24">
        <f t="shared" si="12"/>
        <v>1097662.29</v>
      </c>
      <c r="R139" s="17">
        <f t="shared" si="13"/>
        <v>18</v>
      </c>
      <c r="S139" s="17" t="str">
        <f>IF(COUNTIF($A$2:A139,A139)&gt;1,"Duplicate","Unique")</f>
        <v>Unique</v>
      </c>
      <c r="T139" s="17" t="str">
        <f t="shared" si="14"/>
        <v>No</v>
      </c>
      <c r="U139" s="17" t="str">
        <f t="shared" si="15"/>
        <v>No</v>
      </c>
      <c r="V139" s="17" t="str">
        <f t="shared" si="16"/>
        <v>Yes</v>
      </c>
      <c r="W139" s="17" t="str">
        <f t="shared" si="17"/>
        <v>Oct-2025</v>
      </c>
    </row>
    <row r="140" spans="1:23" x14ac:dyDescent="0.3">
      <c r="A140" s="17" t="str">
        <f>TRIM(Raw_Data!A140)</f>
        <v>REQ-2025-0139</v>
      </c>
      <c r="B140" s="22">
        <f>IF(Raw_Data!B140="","",IF(ISNUMBER(Raw_Data!B140),Raw_Data!B140,IF(ISNUMBER(SEARCH("/",Raw_Data!B140)),IFERROR(DATE(VALUE(RIGHT(Raw_Data!B140,4)),VALUE(MID(Raw_Data!B140,4,2)),VALUE(LEFT(Raw_Data!B140,2))),"Invalid Date"),IFERROR(DATEVALUE(Raw_Data!B140),"Invalid Date"))))</f>
        <v>45981</v>
      </c>
      <c r="C140" s="17" t="str">
        <f>IF(TRIM(Raw_Data!C140)="","",PROPER(TRIM(Raw_Data!C140)))</f>
        <v>Unit B - Artillery</v>
      </c>
      <c r="D140" s="17" t="str">
        <f>IF(TRIM(Raw_Data!D140)="","Not Specified",IFERROR(INDEX(Lookup_Tables!$H$6:$H$12,MATCH(TRIM(Raw_Data!D140),Lookup_Tables!$G$6:$G$12,0)),"Unknown - Review"))</f>
        <v>Southern</v>
      </c>
      <c r="E140" s="17" t="str">
        <f>IF(TRIM(Raw_Data!E140)="","Not Specified",IFERROR(INDEX(Lookup_Tables!$B$6:$B$18,MATCH(TRIM(Raw_Data!E140),Lookup_Tables!$A$6:$A$18,0)),"Unknown - Review"))</f>
        <v>Communication Equipment</v>
      </c>
      <c r="F140" s="17" t="str">
        <f>IF(TRIM(Raw_Data!F140)="","",TRIM(Raw_Data!F140))</f>
        <v>Antenna Unit</v>
      </c>
      <c r="G140" s="17">
        <f>IF(Raw_Data!G140="","",IF(VALUE(Raw_Data!G140)&lt;=0,"Invalid",VALUE(Raw_Data!G140)))</f>
        <v>220</v>
      </c>
      <c r="H140" s="17">
        <f>IF(Raw_Data!H140="","",IF(VALUE(Raw_Data!H140)&lt;=0,"Invalid",VALUE(Raw_Data!H140)))</f>
        <v>210</v>
      </c>
      <c r="I140" s="23">
        <f>IFERROR(VALUE(SUBSTITUTE(SUBSTITUTE(Raw_Data!I140,"₹",""),",","")),"")</f>
        <v>3349.78</v>
      </c>
      <c r="J140" s="17" t="str">
        <f>IF(TRIM(Raw_Data!J140)="","Not Specified",PROPER(TRIM(Raw_Data!J140)))</f>
        <v>Medium</v>
      </c>
      <c r="K140" s="17" t="str">
        <f>IF(TRIM(Raw_Data!K140)="","Not Specified",IFERROR(INDEX(Lookup_Tables!$E$6:$E$13,MATCH(TRIM(Raw_Data!K140),Lookup_Tables!$D$6:$D$13,0)),"Unknown - Review"))</f>
        <v>Delivered</v>
      </c>
      <c r="L140" s="17" t="str">
        <f>IF(TRIM(Raw_Data!L140)="","",PROPER(TRIM(Raw_Data!L140)))</f>
        <v>Stores Officer</v>
      </c>
      <c r="M140" s="22">
        <f>IF(Raw_Data!M140="","",IF(ISNUMBER(Raw_Data!M140),Raw_Data!M140,IF(ISNUMBER(SEARCH("/",Raw_Data!M140)),IFERROR(DATE(VALUE(RIGHT(Raw_Data!M140,4)),VALUE(MID(Raw_Data!M140,4,2)),VALUE(LEFT(Raw_Data!M140,2))),"Invalid Date"),IFERROR(DATEVALUE(Raw_Data!M140),"Invalid Date"))))</f>
        <v>45984</v>
      </c>
      <c r="N140" s="22">
        <f>IF(Raw_Data!N140="","",IF(ISNUMBER(Raw_Data!N140),Raw_Data!N140,IF(ISNUMBER(SEARCH("/",Raw_Data!N140)),IFERROR(DATE(VALUE(RIGHT(Raw_Data!N140,4)),VALUE(MID(Raw_Data!N140,4,2)),VALUE(LEFT(Raw_Data!N140,2))),"Invalid Date"),IFERROR(DATEVALUE(Raw_Data!N140),"Invalid Date"))))</f>
        <v>45999</v>
      </c>
      <c r="O140" s="22">
        <f>IF(Raw_Data!O140="","",IF(ISNUMBER(Raw_Data!O140),Raw_Data!O140,IF(ISNUMBER(SEARCH("/",Raw_Data!O140)),IFERROR(DATE(VALUE(RIGHT(Raw_Data!O140,4)),VALUE(MID(Raw_Data!O140,4,2)),VALUE(LEFT(Raw_Data!O140,2))),"Invalid Date"),IFERROR(DATEVALUE(Raw_Data!O140),"Invalid Date"))))</f>
        <v>46001</v>
      </c>
      <c r="P140" s="17" t="str">
        <f>IF(OR(TRIM(Raw_Data!P140)="",TRIM(Raw_Data!P140)="N/A",TRIM(Raw_Data!P140)="TBD",TRIM(Raw_Data!P140)="-"),"Not Assigned",PROPER(TRIM(Raw_Data!P140)))</f>
        <v>Om Suppliers</v>
      </c>
      <c r="Q140" s="24">
        <f t="shared" si="12"/>
        <v>703453.8</v>
      </c>
      <c r="R140" s="17">
        <f t="shared" si="13"/>
        <v>2</v>
      </c>
      <c r="S140" s="17" t="str">
        <f>IF(COUNTIF($A$2:A140,A140)&gt;1,"Duplicate","Unique")</f>
        <v>Unique</v>
      </c>
      <c r="T140" s="17" t="str">
        <f t="shared" si="14"/>
        <v>No</v>
      </c>
      <c r="U140" s="17" t="str">
        <f t="shared" si="15"/>
        <v>No</v>
      </c>
      <c r="V140" s="17" t="str">
        <f t="shared" si="16"/>
        <v>Yes</v>
      </c>
      <c r="W140" s="17" t="str">
        <f t="shared" si="17"/>
        <v>Nov-2025</v>
      </c>
    </row>
    <row r="141" spans="1:23" x14ac:dyDescent="0.3">
      <c r="A141" s="17" t="str">
        <f>TRIM(Raw_Data!A141)</f>
        <v>REQ-2025-0140</v>
      </c>
      <c r="B141" s="22">
        <f>IF(Raw_Data!B141="","",IF(ISNUMBER(Raw_Data!B141),Raw_Data!B141,IF(ISNUMBER(SEARCH("/",Raw_Data!B141)),IFERROR(DATE(VALUE(RIGHT(Raw_Data!B141,4)),VALUE(MID(Raw_Data!B141,4,2)),VALUE(LEFT(Raw_Data!B141,2))),"Invalid Date"),IFERROR(DATEVALUE(Raw_Data!B141),"Invalid Date"))))</f>
        <v>45900</v>
      </c>
      <c r="C141" s="17" t="str">
        <f>IF(TRIM(Raw_Data!C141)="","",PROPER(TRIM(Raw_Data!C141)))</f>
        <v>Unit C - Engineers</v>
      </c>
      <c r="D141" s="17" t="str">
        <f>IF(TRIM(Raw_Data!D141)="","Not Specified",IFERROR(INDEX(Lookup_Tables!$H$6:$H$12,MATCH(TRIM(Raw_Data!D141),Lookup_Tables!$G$6:$G$12,0)),"Unknown - Review"))</f>
        <v>Eastern</v>
      </c>
      <c r="E141" s="17" t="str">
        <f>IF(TRIM(Raw_Data!E141)="","Not Specified",IFERROR(INDEX(Lookup_Tables!$B$6:$B$18,MATCH(TRIM(Raw_Data!E141),Lookup_Tables!$A$6:$A$18,0)),"Unknown - Review"))</f>
        <v>Vehicle Spares</v>
      </c>
      <c r="F141" s="17" t="str">
        <f>IF(TRIM(Raw_Data!F141)="","",TRIM(Raw_Data!F141))</f>
        <v>Truck Tyre 900x20</v>
      </c>
      <c r="G141" s="17">
        <f>IF(Raw_Data!G141="","",IF(VALUE(Raw_Data!G141)&lt;=0,"Invalid",VALUE(Raw_Data!G141)))</f>
        <v>273</v>
      </c>
      <c r="H141" s="17">
        <f>IF(Raw_Data!H141="","",IF(VALUE(Raw_Data!H141)&lt;=0,"Invalid",VALUE(Raw_Data!H141)))</f>
        <v>212</v>
      </c>
      <c r="I141" s="23">
        <f>IFERROR(VALUE(SUBSTITUTE(SUBSTITUTE(Raw_Data!I141,"₹",""),",","")),"")</f>
        <v>7114.06</v>
      </c>
      <c r="J141" s="17" t="str">
        <f>IF(TRIM(Raw_Data!J141)="","Not Specified",PROPER(TRIM(Raw_Data!J141)))</f>
        <v>High</v>
      </c>
      <c r="K141" s="17" t="str">
        <f>IF(TRIM(Raw_Data!K141)="","Not Specified",IFERROR(INDEX(Lookup_Tables!$E$6:$E$13,MATCH(TRIM(Raw_Data!K141),Lookup_Tables!$D$6:$D$13,0)),"Unknown - Review"))</f>
        <v>Dispatched</v>
      </c>
      <c r="L141" s="17" t="str">
        <f>IF(TRIM(Raw_Data!L141)="","",PROPER(TRIM(Raw_Data!L141)))</f>
        <v>Unit Commander</v>
      </c>
      <c r="M141" s="22">
        <f>IF(Raw_Data!M141="","",IF(ISNUMBER(Raw_Data!M141),Raw_Data!M141,IF(ISNUMBER(SEARCH("/",Raw_Data!M141)),IFERROR(DATE(VALUE(RIGHT(Raw_Data!M141,4)),VALUE(MID(Raw_Data!M141,4,2)),VALUE(LEFT(Raw_Data!M141,2))),"Invalid Date"),IFERROR(DATEVALUE(Raw_Data!M141),"Invalid Date"))))</f>
        <v>45907</v>
      </c>
      <c r="N141" s="22">
        <f>IF(Raw_Data!N141="","",IF(ISNUMBER(Raw_Data!N141),Raw_Data!N141,IF(ISNUMBER(SEARCH("/",Raw_Data!N141)),IFERROR(DATE(VALUE(RIGHT(Raw_Data!N141,4)),VALUE(MID(Raw_Data!N141,4,2)),VALUE(LEFT(Raw_Data!N141,2))),"Invalid Date"),IFERROR(DATEVALUE(Raw_Data!N141),"Invalid Date"))))</f>
        <v>45921</v>
      </c>
      <c r="O141" s="22" t="str">
        <f>IF(Raw_Data!O141="","",IF(ISNUMBER(Raw_Data!O141),Raw_Data!O141,IF(ISNUMBER(SEARCH("/",Raw_Data!O141)),IFERROR(DATE(VALUE(RIGHT(Raw_Data!O141,4)),VALUE(MID(Raw_Data!O141,4,2)),VALUE(LEFT(Raw_Data!O141,2))),"Invalid Date"),IFERROR(DATEVALUE(Raw_Data!O141),"Invalid Date"))))</f>
        <v/>
      </c>
      <c r="P141" s="17" t="str">
        <f>IF(OR(TRIM(Raw_Data!P141)="",TRIM(Raw_Data!P141)="N/A",TRIM(Raw_Data!P141)="TBD",TRIM(Raw_Data!P141)="-"),"Not Assigned",PROPER(TRIM(Raw_Data!P141)))</f>
        <v>Vikram Enterprises</v>
      </c>
      <c r="Q141" s="24">
        <f t="shared" si="12"/>
        <v>1508180.72</v>
      </c>
      <c r="R141" s="17" t="str">
        <f t="shared" si="13"/>
        <v/>
      </c>
      <c r="S141" s="17" t="str">
        <f>IF(COUNTIF($A$2:A141,A141)&gt;1,"Duplicate","Unique")</f>
        <v>Unique</v>
      </c>
      <c r="T141" s="17" t="str">
        <f t="shared" si="14"/>
        <v>No</v>
      </c>
      <c r="U141" s="17" t="str">
        <f t="shared" si="15"/>
        <v>No</v>
      </c>
      <c r="V141" s="17" t="str">
        <f t="shared" si="16"/>
        <v>Yes</v>
      </c>
      <c r="W141" s="17" t="str">
        <f t="shared" si="17"/>
        <v>Aug-2025</v>
      </c>
    </row>
    <row r="142" spans="1:23" x14ac:dyDescent="0.3">
      <c r="A142" s="17" t="str">
        <f>TRIM(Raw_Data!A142)</f>
        <v>REQ-2025-0141</v>
      </c>
      <c r="B142" s="22" t="str">
        <f>IF(Raw_Data!B142="","",IF(ISNUMBER(Raw_Data!B142),Raw_Data!B142,IF(ISNUMBER(SEARCH("/",Raw_Data!B142)),IFERROR(DATE(VALUE(RIGHT(Raw_Data!B142,4)),VALUE(MID(Raw_Data!B142,4,2)),VALUE(LEFT(Raw_Data!B142,2))),"Invalid Date"),IFERROR(DATEVALUE(Raw_Data!B142),"Invalid Date"))))</f>
        <v/>
      </c>
      <c r="C142" s="17" t="str">
        <f>IF(TRIM(Raw_Data!C142)="","",PROPER(TRIM(Raw_Data!C142)))</f>
        <v>Unit H - Air Defence</v>
      </c>
      <c r="D142" s="17" t="str">
        <f>IF(TRIM(Raw_Data!D142)="","Not Specified",IFERROR(INDEX(Lookup_Tables!$H$6:$H$12,MATCH(TRIM(Raw_Data!D142),Lookup_Tables!$G$6:$G$12,0)),"Unknown - Review"))</f>
        <v>Eastern</v>
      </c>
      <c r="E142" s="17" t="str">
        <f>IF(TRIM(Raw_Data!E142)="","Not Specified",IFERROR(INDEX(Lookup_Tables!$B$6:$B$18,MATCH(TRIM(Raw_Data!E142),Lookup_Tables!$A$6:$A$18,0)),"Unknown - Review"))</f>
        <v>Construction Material</v>
      </c>
      <c r="F142" s="17" t="str">
        <f>IF(TRIM(Raw_Data!F142)="","",TRIM(Raw_Data!F142))</f>
        <v>Barbed Wire Roll</v>
      </c>
      <c r="G142" s="17">
        <f>IF(Raw_Data!G142="","",IF(VALUE(Raw_Data!G142)&lt;=0,"Invalid",VALUE(Raw_Data!G142)))</f>
        <v>251</v>
      </c>
      <c r="H142" s="17">
        <f>IF(Raw_Data!H142="","",IF(VALUE(Raw_Data!H142)&lt;=0,"Invalid",VALUE(Raw_Data!H142)))</f>
        <v>208</v>
      </c>
      <c r="I142" s="23">
        <f>IFERROR(VALUE(SUBSTITUTE(SUBSTITUTE(Raw_Data!I142,"₹",""),",","")),"")</f>
        <v>16555.38</v>
      </c>
      <c r="J142" s="17" t="str">
        <f>IF(TRIM(Raw_Data!J142)="","Not Specified",PROPER(TRIM(Raw_Data!J142)))</f>
        <v>Low</v>
      </c>
      <c r="K142" s="17" t="str">
        <f>IF(TRIM(Raw_Data!K142)="","Not Specified",IFERROR(INDEX(Lookup_Tables!$E$6:$E$13,MATCH(TRIM(Raw_Data!K142),Lookup_Tables!$D$6:$D$13,0)),"Unknown - Review"))</f>
        <v>Dispatched</v>
      </c>
      <c r="L142" s="17" t="str">
        <f>IF(TRIM(Raw_Data!L142)="","",PROPER(TRIM(Raw_Data!L142)))</f>
        <v>Stores Officer</v>
      </c>
      <c r="M142" s="22">
        <f>IF(Raw_Data!M142="","",IF(ISNUMBER(Raw_Data!M142),Raw_Data!M142,IF(ISNUMBER(SEARCH("/",Raw_Data!M142)),IFERROR(DATE(VALUE(RIGHT(Raw_Data!M142,4)),VALUE(MID(Raw_Data!M142,4,2)),VALUE(LEFT(Raw_Data!M142,2))),"Invalid Date"),IFERROR(DATEVALUE(Raw_Data!M142),"Invalid Date"))))</f>
        <v>45990</v>
      </c>
      <c r="N142" s="22">
        <f>IF(Raw_Data!N142="","",IF(ISNUMBER(Raw_Data!N142),Raw_Data!N142,IF(ISNUMBER(SEARCH("/",Raw_Data!N142)),IFERROR(DATE(VALUE(RIGHT(Raw_Data!N142,4)),VALUE(MID(Raw_Data!N142,4,2)),VALUE(LEFT(Raw_Data!N142,2))),"Invalid Date"),IFERROR(DATEVALUE(Raw_Data!N142),"Invalid Date"))))</f>
        <v>45999</v>
      </c>
      <c r="O142" s="22" t="str">
        <f>IF(Raw_Data!O142="","",IF(ISNUMBER(Raw_Data!O142),Raw_Data!O142,IF(ISNUMBER(SEARCH("/",Raw_Data!O142)),IFERROR(DATE(VALUE(RIGHT(Raw_Data!O142,4)),VALUE(MID(Raw_Data!O142,4,2)),VALUE(LEFT(Raw_Data!O142,2))),"Invalid Date"),IFERROR(DATEVALUE(Raw_Data!O142),"Invalid Date"))))</f>
        <v/>
      </c>
      <c r="P142" s="17" t="str">
        <f>IF(OR(TRIM(Raw_Data!P142)="",TRIM(Raw_Data!P142)="N/A",TRIM(Raw_Data!P142)="TBD",TRIM(Raw_Data!P142)="-"),"Not Assigned",PROPER(TRIM(Raw_Data!P142)))</f>
        <v>Shakti Traders</v>
      </c>
      <c r="Q142" s="24">
        <f t="shared" si="12"/>
        <v>3443519.04</v>
      </c>
      <c r="R142" s="17" t="str">
        <f t="shared" si="13"/>
        <v/>
      </c>
      <c r="S142" s="17" t="str">
        <f>IF(COUNTIF($A$2:A142,A142)&gt;1,"Duplicate","Unique")</f>
        <v>Unique</v>
      </c>
      <c r="T142" s="17" t="str">
        <f t="shared" si="14"/>
        <v>No</v>
      </c>
      <c r="U142" s="17" t="str">
        <f t="shared" si="15"/>
        <v>No</v>
      </c>
      <c r="V142" s="17" t="str">
        <f t="shared" si="16"/>
        <v>Yes</v>
      </c>
      <c r="W142" s="17" t="str">
        <f t="shared" si="17"/>
        <v/>
      </c>
    </row>
    <row r="143" spans="1:23" x14ac:dyDescent="0.3">
      <c r="A143" s="17" t="str">
        <f>TRIM(Raw_Data!A143)</f>
        <v>REQ-2025-0142</v>
      </c>
      <c r="B143" s="22">
        <f>IF(Raw_Data!B143="","",IF(ISNUMBER(Raw_Data!B143),Raw_Data!B143,IF(ISNUMBER(SEARCH("/",Raw_Data!B143)),IFERROR(DATE(VALUE(RIGHT(Raw_Data!B143,4)),VALUE(MID(Raw_Data!B143,4,2)),VALUE(LEFT(Raw_Data!B143,2))),"Invalid Date"),IFERROR(DATEVALUE(Raw_Data!B143),"Invalid Date"))))</f>
        <v>45851</v>
      </c>
      <c r="C143" s="17" t="str">
        <f>IF(TRIM(Raw_Data!C143)="","",PROPER(TRIM(Raw_Data!C143)))</f>
        <v>Unit G - Transport Corps</v>
      </c>
      <c r="D143" s="17" t="str">
        <f>IF(TRIM(Raw_Data!D143)="","Not Specified",IFERROR(INDEX(Lookup_Tables!$H$6:$H$12,MATCH(TRIM(Raw_Data!D143),Lookup_Tables!$G$6:$G$12,0)),"Unknown - Review"))</f>
        <v>Southern</v>
      </c>
      <c r="E143" s="17" t="str">
        <f>IF(TRIM(Raw_Data!E143)="","Not Specified",IFERROR(INDEX(Lookup_Tables!$B$6:$B$18,MATCH(TRIM(Raw_Data!E143),Lookup_Tables!$A$6:$A$18,0)),"Unknown - Review"))</f>
        <v>Uniforms &amp; Clothing</v>
      </c>
      <c r="F143" s="17" t="str">
        <f>IF(TRIM(Raw_Data!F143)="","",TRIM(Raw_Data!F143))</f>
        <v>Rain Poncho</v>
      </c>
      <c r="G143" s="17">
        <f>IF(Raw_Data!G143="","",IF(VALUE(Raw_Data!G143)&lt;=0,"Invalid",VALUE(Raw_Data!G143)))</f>
        <v>325</v>
      </c>
      <c r="H143" s="17">
        <f>IF(Raw_Data!H143="","",IF(VALUE(Raw_Data!H143)&lt;=0,"Invalid",VALUE(Raw_Data!H143)))</f>
        <v>316</v>
      </c>
      <c r="I143" s="23">
        <f>IFERROR(VALUE(SUBSTITUTE(SUBSTITUTE(Raw_Data!I143,"₹",""),",","")),"")</f>
        <v>36370</v>
      </c>
      <c r="J143" s="17" t="str">
        <f>IF(TRIM(Raw_Data!J143)="","Not Specified",PROPER(TRIM(Raw_Data!J143)))</f>
        <v>High</v>
      </c>
      <c r="K143" s="17" t="str">
        <f>IF(TRIM(Raw_Data!K143)="","Not Specified",IFERROR(INDEX(Lookup_Tables!$E$6:$E$13,MATCH(TRIM(Raw_Data!K143),Lookup_Tables!$D$6:$D$13,0)),"Unknown - Review"))</f>
        <v>Not Specified</v>
      </c>
      <c r="L143" s="17" t="str">
        <f>IF(TRIM(Raw_Data!L143)="","",PROPER(TRIM(Raw_Data!L143)))</f>
        <v>Unit Commander</v>
      </c>
      <c r="M143" s="22">
        <f>IF(Raw_Data!M143="","",IF(ISNUMBER(Raw_Data!M143),Raw_Data!M143,IF(ISNUMBER(SEARCH("/",Raw_Data!M143)),IFERROR(DATE(VALUE(RIGHT(Raw_Data!M143,4)),VALUE(MID(Raw_Data!M143,4,2)),VALUE(LEFT(Raw_Data!M143,2))),"Invalid Date"),IFERROR(DATEVALUE(Raw_Data!M143),"Invalid Date"))))</f>
        <v>45856</v>
      </c>
      <c r="N143" s="22">
        <f>IF(Raw_Data!N143="","",IF(ISNUMBER(Raw_Data!N143),Raw_Data!N143,IF(ISNUMBER(SEARCH("/",Raw_Data!N143)),IFERROR(DATE(VALUE(RIGHT(Raw_Data!N143,4)),VALUE(MID(Raw_Data!N143,4,2)),VALUE(LEFT(Raw_Data!N143,2))),"Invalid Date"),IFERROR(DATEVALUE(Raw_Data!N143),"Invalid Date"))))</f>
        <v>45870</v>
      </c>
      <c r="O143" s="22" t="str">
        <f>IF(Raw_Data!O143="","",IF(ISNUMBER(Raw_Data!O143),Raw_Data!O143,IF(ISNUMBER(SEARCH("/",Raw_Data!O143)),IFERROR(DATE(VALUE(RIGHT(Raw_Data!O143,4)),VALUE(MID(Raw_Data!O143,4,2)),VALUE(LEFT(Raw_Data!O143,2))),"Invalid Date"),IFERROR(DATEVALUE(Raw_Data!O143),"Invalid Date"))))</f>
        <v/>
      </c>
      <c r="P143" s="17" t="str">
        <f>IF(OR(TRIM(Raw_Data!P143)="",TRIM(Raw_Data!P143)="N/A",TRIM(Raw_Data!P143)="TBD",TRIM(Raw_Data!P143)="-"),"Not Assigned",PROPER(TRIM(Raw_Data!P143)))</f>
        <v>Not Assigned</v>
      </c>
      <c r="Q143" s="24">
        <f t="shared" si="12"/>
        <v>11492920</v>
      </c>
      <c r="R143" s="17" t="str">
        <f t="shared" si="13"/>
        <v/>
      </c>
      <c r="S143" s="17" t="str">
        <f>IF(COUNTIF($A$2:A143,A143)&gt;1,"Duplicate","Unique")</f>
        <v>Unique</v>
      </c>
      <c r="T143" s="17" t="str">
        <f t="shared" si="14"/>
        <v>Yes</v>
      </c>
      <c r="U143" s="17" t="str">
        <f t="shared" si="15"/>
        <v>No</v>
      </c>
      <c r="V143" s="17" t="str">
        <f t="shared" si="16"/>
        <v>No</v>
      </c>
      <c r="W143" s="17" t="str">
        <f t="shared" si="17"/>
        <v>Jul-2025</v>
      </c>
    </row>
    <row r="144" spans="1:23" x14ac:dyDescent="0.3">
      <c r="A144" s="17" t="str">
        <f>TRIM(Raw_Data!A144)</f>
        <v>REQ-2025-0143</v>
      </c>
      <c r="B144" s="22">
        <f>IF(Raw_Data!B144="","",IF(ISNUMBER(Raw_Data!B144),Raw_Data!B144,IF(ISNUMBER(SEARCH("/",Raw_Data!B144)),IFERROR(DATE(VALUE(RIGHT(Raw_Data!B144,4)),VALUE(MID(Raw_Data!B144,4,2)),VALUE(LEFT(Raw_Data!B144,2))),"Invalid Date"),IFERROR(DATEVALUE(Raw_Data!B144),"Invalid Date"))))</f>
        <v>45704</v>
      </c>
      <c r="C144" s="17" t="str">
        <f>IF(TRIM(Raw_Data!C144)="","",PROPER(TRIM(Raw_Data!C144)))</f>
        <v>Unit C - Engineers</v>
      </c>
      <c r="D144" s="17" t="str">
        <f>IF(TRIM(Raw_Data!D144)="","Not Specified",IFERROR(INDEX(Lookup_Tables!$H$6:$H$12,MATCH(TRIM(Raw_Data!D144),Lookup_Tables!$G$6:$G$12,0)),"Unknown - Review"))</f>
        <v>Eastern</v>
      </c>
      <c r="E144" s="17" t="str">
        <f>IF(TRIM(Raw_Data!E144)="","Not Specified",IFERROR(INDEX(Lookup_Tables!$B$6:$B$18,MATCH(TRIM(Raw_Data!E144),Lookup_Tables!$A$6:$A$18,0)),"Unknown - Review"))</f>
        <v>Rations</v>
      </c>
      <c r="F144" s="17" t="str">
        <f>IF(TRIM(Raw_Data!F144)="","",TRIM(Raw_Data!F144))</f>
        <v>Canned Vegetables</v>
      </c>
      <c r="G144" s="17">
        <f>IF(Raw_Data!G144="","",IF(VALUE(Raw_Data!G144)&lt;=0,"Invalid",VALUE(Raw_Data!G144)))</f>
        <v>180</v>
      </c>
      <c r="H144" s="17">
        <f>IF(Raw_Data!H144="","",IF(VALUE(Raw_Data!H144)&lt;=0,"Invalid",VALUE(Raw_Data!H144)))</f>
        <v>152</v>
      </c>
      <c r="I144" s="23">
        <f>IFERROR(VALUE(SUBSTITUTE(SUBSTITUTE(Raw_Data!I144,"₹",""),",","")),"")</f>
        <v>16807</v>
      </c>
      <c r="J144" s="17" t="str">
        <f>IF(TRIM(Raw_Data!J144)="","Not Specified",PROPER(TRIM(Raw_Data!J144)))</f>
        <v>Routine</v>
      </c>
      <c r="K144" s="17" t="str">
        <f>IF(TRIM(Raw_Data!K144)="","Not Specified",IFERROR(INDEX(Lookup_Tables!$E$6:$E$13,MATCH(TRIM(Raw_Data!K144),Lookup_Tables!$D$6:$D$13,0)),"Unknown - Review"))</f>
        <v>Approved</v>
      </c>
      <c r="L144" s="17" t="str">
        <f>IF(TRIM(Raw_Data!L144)="","",PROPER(TRIM(Raw_Data!L144)))</f>
        <v>Logistics Officer</v>
      </c>
      <c r="M144" s="22">
        <f>IF(Raw_Data!M144="","",IF(ISNUMBER(Raw_Data!M144),Raw_Data!M144,IF(ISNUMBER(SEARCH("/",Raw_Data!M144)),IFERROR(DATE(VALUE(RIGHT(Raw_Data!M144,4)),VALUE(MID(Raw_Data!M144,4,2)),VALUE(LEFT(Raw_Data!M144,2))),"Invalid Date"),IFERROR(DATEVALUE(Raw_Data!M144),"Invalid Date"))))</f>
        <v>45705</v>
      </c>
      <c r="N144" s="22">
        <f>IF(Raw_Data!N144="","",IF(ISNUMBER(Raw_Data!N144),Raw_Data!N144,IF(ISNUMBER(SEARCH("/",Raw_Data!N144)),IFERROR(DATE(VALUE(RIGHT(Raw_Data!N144,4)),VALUE(MID(Raw_Data!N144,4,2)),VALUE(LEFT(Raw_Data!N144,2))),"Invalid Date"),IFERROR(DATEVALUE(Raw_Data!N144),"Invalid Date"))))</f>
        <v>45720</v>
      </c>
      <c r="O144" s="22" t="str">
        <f>IF(Raw_Data!O144="","",IF(ISNUMBER(Raw_Data!O144),Raw_Data!O144,IF(ISNUMBER(SEARCH("/",Raw_Data!O144)),IFERROR(DATE(VALUE(RIGHT(Raw_Data!O144,4)),VALUE(MID(Raw_Data!O144,4,2)),VALUE(LEFT(Raw_Data!O144,2))),"Invalid Date"),IFERROR(DATEVALUE(Raw_Data!O144),"Invalid Date"))))</f>
        <v/>
      </c>
      <c r="P144" s="17" t="str">
        <f>IF(OR(TRIM(Raw_Data!P144)="",TRIM(Raw_Data!P144)="N/A",TRIM(Raw_Data!P144)="TBD",TRIM(Raw_Data!P144)="-"),"Not Assigned",PROPER(TRIM(Raw_Data!P144)))</f>
        <v>Sena Supply Co</v>
      </c>
      <c r="Q144" s="24">
        <f t="shared" si="12"/>
        <v>2554664</v>
      </c>
      <c r="R144" s="17" t="str">
        <f t="shared" si="13"/>
        <v/>
      </c>
      <c r="S144" s="17" t="str">
        <f>IF(COUNTIF($A$2:A144,A144)&gt;1,"Duplicate","Unique")</f>
        <v>Unique</v>
      </c>
      <c r="T144" s="17" t="str">
        <f t="shared" si="14"/>
        <v>No</v>
      </c>
      <c r="U144" s="17" t="str">
        <f t="shared" si="15"/>
        <v>No</v>
      </c>
      <c r="V144" s="17" t="str">
        <f t="shared" si="16"/>
        <v>Yes</v>
      </c>
      <c r="W144" s="17" t="str">
        <f t="shared" si="17"/>
        <v>Feb-2025</v>
      </c>
    </row>
    <row r="145" spans="1:23" x14ac:dyDescent="0.3">
      <c r="A145" s="17" t="str">
        <f>TRIM(Raw_Data!A145)</f>
        <v>REQ-2025-0144</v>
      </c>
      <c r="B145" s="22">
        <f>IF(Raw_Data!B145="","",IF(ISNUMBER(Raw_Data!B145),Raw_Data!B145,IF(ISNUMBER(SEARCH("/",Raw_Data!B145)),IFERROR(DATE(VALUE(RIGHT(Raw_Data!B145,4)),VALUE(MID(Raw_Data!B145,4,2)),VALUE(LEFT(Raw_Data!B145,2))),"Invalid Date"),IFERROR(DATEVALUE(Raw_Data!B145),"Invalid Date"))))</f>
        <v>45857</v>
      </c>
      <c r="C145" s="17" t="str">
        <f>IF(TRIM(Raw_Data!C145)="","",PROPER(TRIM(Raw_Data!C145)))</f>
        <v>Unit B - Artillery</v>
      </c>
      <c r="D145" s="17" t="str">
        <f>IF(TRIM(Raw_Data!D145)="","Not Specified",IFERROR(INDEX(Lookup_Tables!$H$6:$H$12,MATCH(TRIM(Raw_Data!D145),Lookup_Tables!$G$6:$G$12,0)),"Unknown - Review"))</f>
        <v>Southern</v>
      </c>
      <c r="E145" s="17" t="str">
        <f>IF(TRIM(Raw_Data!E145)="","Not Specified",IFERROR(INDEX(Lookup_Tables!$B$6:$B$18,MATCH(TRIM(Raw_Data!E145),Lookup_Tables!$A$6:$A$18,0)),"Unknown - Review"))</f>
        <v>Medical Supplies</v>
      </c>
      <c r="F145" s="17" t="str">
        <f>IF(TRIM(Raw_Data!F145)="","",TRIM(Raw_Data!F145))</f>
        <v>Antiseptic Solution (5L)</v>
      </c>
      <c r="G145" s="17">
        <f>IF(Raw_Data!G145="","",IF(VALUE(Raw_Data!G145)&lt;=0,"Invalid",VALUE(Raw_Data!G145)))</f>
        <v>86</v>
      </c>
      <c r="H145" s="17">
        <f>IF(Raw_Data!H145="","",IF(VALUE(Raw_Data!H145)&lt;=0,"Invalid",VALUE(Raw_Data!H145)))</f>
        <v>118</v>
      </c>
      <c r="I145" s="23">
        <f>IFERROR(VALUE(SUBSTITUTE(SUBSTITUTE(Raw_Data!I145,"₹",""),",","")),"")</f>
        <v>23514</v>
      </c>
      <c r="J145" s="17" t="str">
        <f>IF(TRIM(Raw_Data!J145)="","Not Specified",PROPER(TRIM(Raw_Data!J145)))</f>
        <v>Low</v>
      </c>
      <c r="K145" s="17" t="str">
        <f>IF(TRIM(Raw_Data!K145)="","Not Specified",IFERROR(INDEX(Lookup_Tables!$E$6:$E$13,MATCH(TRIM(Raw_Data!K145),Lookup_Tables!$D$6:$D$13,0)),"Unknown - Review"))</f>
        <v>Delivered</v>
      </c>
      <c r="L145" s="17" t="str">
        <f>IF(TRIM(Raw_Data!L145)="","",PROPER(TRIM(Raw_Data!L145)))</f>
        <v>Stores Officer</v>
      </c>
      <c r="M145" s="22">
        <f>IF(Raw_Data!M145="","",IF(ISNUMBER(Raw_Data!M145),Raw_Data!M145,IF(ISNUMBER(SEARCH("/",Raw_Data!M145)),IFERROR(DATE(VALUE(RIGHT(Raw_Data!M145,4)),VALUE(MID(Raw_Data!M145,4,2)),VALUE(LEFT(Raw_Data!M145,2))),"Invalid Date"),IFERROR(DATEVALUE(Raw_Data!M145),"Invalid Date"))))</f>
        <v>45862</v>
      </c>
      <c r="N145" s="22">
        <f>IF(Raw_Data!N145="","",IF(ISNUMBER(Raw_Data!N145),Raw_Data!N145,IF(ISNUMBER(SEARCH("/",Raw_Data!N145)),IFERROR(DATE(VALUE(RIGHT(Raw_Data!N145,4)),VALUE(MID(Raw_Data!N145,4,2)),VALUE(LEFT(Raw_Data!N145,2))),"Invalid Date"),IFERROR(DATEVALUE(Raw_Data!N145),"Invalid Date"))))</f>
        <v>45882</v>
      </c>
      <c r="O145" s="22">
        <f>IF(Raw_Data!O145="","",IF(ISNUMBER(Raw_Data!O145),Raw_Data!O145,IF(ISNUMBER(SEARCH("/",Raw_Data!O145)),IFERROR(DATE(VALUE(RIGHT(Raw_Data!O145,4)),VALUE(MID(Raw_Data!O145,4,2)),VALUE(LEFT(Raw_Data!O145,2))),"Invalid Date"),IFERROR(DATEVALUE(Raw_Data!O145),"Invalid Date"))))</f>
        <v>45897</v>
      </c>
      <c r="P145" s="17" t="str">
        <f>IF(OR(TRIM(Raw_Data!P145)="",TRIM(Raw_Data!P145)="N/A",TRIM(Raw_Data!P145)="TBD",TRIM(Raw_Data!P145)="-"),"Not Assigned",PROPER(TRIM(Raw_Data!P145)))</f>
        <v>Shakti Traders</v>
      </c>
      <c r="Q145" s="24">
        <f t="shared" si="12"/>
        <v>2774652</v>
      </c>
      <c r="R145" s="17">
        <f t="shared" si="13"/>
        <v>15</v>
      </c>
      <c r="S145" s="17" t="str">
        <f>IF(COUNTIF($A$2:A145,A145)&gt;1,"Duplicate","Unique")</f>
        <v>Unique</v>
      </c>
      <c r="T145" s="17" t="str">
        <f t="shared" si="14"/>
        <v>No</v>
      </c>
      <c r="U145" s="17" t="str">
        <f t="shared" si="15"/>
        <v>Yes</v>
      </c>
      <c r="V145" s="17" t="str">
        <f t="shared" si="16"/>
        <v>No</v>
      </c>
      <c r="W145" s="17" t="str">
        <f t="shared" si="17"/>
        <v>Jul-2025</v>
      </c>
    </row>
    <row r="146" spans="1:23" x14ac:dyDescent="0.3">
      <c r="A146" s="17" t="str">
        <f>TRIM(Raw_Data!A146)</f>
        <v>REQ-2025-0145</v>
      </c>
      <c r="B146" s="22">
        <f>IF(Raw_Data!B146="","",IF(ISNUMBER(Raw_Data!B146),Raw_Data!B146,IF(ISNUMBER(SEARCH("/",Raw_Data!B146)),IFERROR(DATE(VALUE(RIGHT(Raw_Data!B146,4)),VALUE(MID(Raw_Data!B146,4,2)),VALUE(LEFT(Raw_Data!B146,2))),"Invalid Date"),IFERROR(DATEVALUE(Raw_Data!B146),"Invalid Date"))))</f>
        <v>45688</v>
      </c>
      <c r="C146" s="17" t="str">
        <f>IF(TRIM(Raw_Data!C146)="","",PROPER(TRIM(Raw_Data!C146)))</f>
        <v>Unit C - Engineers</v>
      </c>
      <c r="D146" s="17" t="str">
        <f>IF(TRIM(Raw_Data!D146)="","Not Specified",IFERROR(INDEX(Lookup_Tables!$H$6:$H$12,MATCH(TRIM(Raw_Data!D146),Lookup_Tables!$G$6:$G$12,0)),"Unknown - Review"))</f>
        <v>Eastern</v>
      </c>
      <c r="E146" s="17" t="str">
        <f>IF(TRIM(Raw_Data!E146)="","Not Specified",IFERROR(INDEX(Lookup_Tables!$B$6:$B$18,MATCH(TRIM(Raw_Data!E146),Lookup_Tables!$A$6:$A$18,0)),"Unknown - Review"))</f>
        <v>Fuel &amp; Lubricants</v>
      </c>
      <c r="F146" s="17" t="str">
        <f>IF(TRIM(Raw_Data!F146)="","",TRIM(Raw_Data!F146))</f>
        <v>Diesel (Drum 200L)</v>
      </c>
      <c r="G146" s="17">
        <f>IF(Raw_Data!G146="","",IF(VALUE(Raw_Data!G146)&lt;=0,"Invalid",VALUE(Raw_Data!G146)))</f>
        <v>69</v>
      </c>
      <c r="H146" s="17" t="str">
        <f>IF(Raw_Data!H146="","",IF(VALUE(Raw_Data!H146)&lt;=0,"Invalid",VALUE(Raw_Data!H146)))</f>
        <v/>
      </c>
      <c r="I146" s="23">
        <f>IFERROR(VALUE(SUBSTITUTE(SUBSTITUTE(Raw_Data!I146,"₹",""),",","")),"")</f>
        <v>25192.02</v>
      </c>
      <c r="J146" s="17" t="str">
        <f>IF(TRIM(Raw_Data!J146)="","Not Specified",PROPER(TRIM(Raw_Data!J146)))</f>
        <v>Medium</v>
      </c>
      <c r="K146" s="17" t="str">
        <f>IF(TRIM(Raw_Data!K146)="","Not Specified",IFERROR(INDEX(Lookup_Tables!$E$6:$E$13,MATCH(TRIM(Raw_Data!K146),Lookup_Tables!$D$6:$D$13,0)),"Unknown - Review"))</f>
        <v>Rejected</v>
      </c>
      <c r="L146" s="17" t="str">
        <f>IF(TRIM(Raw_Data!L146)="","",PROPER(TRIM(Raw_Data!L146)))</f>
        <v>Quartermaster</v>
      </c>
      <c r="M146" s="22" t="str">
        <f>IF(Raw_Data!M146="","",IF(ISNUMBER(Raw_Data!M146),Raw_Data!M146,IF(ISNUMBER(SEARCH("/",Raw_Data!M146)),IFERROR(DATE(VALUE(RIGHT(Raw_Data!M146,4)),VALUE(MID(Raw_Data!M146,4,2)),VALUE(LEFT(Raw_Data!M146,2))),"Invalid Date"),IFERROR(DATEVALUE(Raw_Data!M146),"Invalid Date"))))</f>
        <v/>
      </c>
      <c r="N146" s="22" t="str">
        <f>IF(Raw_Data!N146="","",IF(ISNUMBER(Raw_Data!N146),Raw_Data!N146,IF(ISNUMBER(SEARCH("/",Raw_Data!N146)),IFERROR(DATE(VALUE(RIGHT(Raw_Data!N146,4)),VALUE(MID(Raw_Data!N146,4,2)),VALUE(LEFT(Raw_Data!N146,2))),"Invalid Date"),IFERROR(DATEVALUE(Raw_Data!N146),"Invalid Date"))))</f>
        <v/>
      </c>
      <c r="O146" s="22" t="str">
        <f>IF(Raw_Data!O146="","",IF(ISNUMBER(Raw_Data!O146),Raw_Data!O146,IF(ISNUMBER(SEARCH("/",Raw_Data!O146)),IFERROR(DATE(VALUE(RIGHT(Raw_Data!O146,4)),VALUE(MID(Raw_Data!O146,4,2)),VALUE(LEFT(Raw_Data!O146,2))),"Invalid Date"),IFERROR(DATEVALUE(Raw_Data!O146),"Invalid Date"))))</f>
        <v/>
      </c>
      <c r="P146" s="17" t="str">
        <f>IF(OR(TRIM(Raw_Data!P146)="",TRIM(Raw_Data!P146)="N/A",TRIM(Raw_Data!P146)="TBD",TRIM(Raw_Data!P146)="-"),"Not Assigned",PROPER(TRIM(Raw_Data!P146)))</f>
        <v>Om Suppliers</v>
      </c>
      <c r="Q146" s="24" t="str">
        <f t="shared" si="12"/>
        <v/>
      </c>
      <c r="R146" s="17" t="str">
        <f t="shared" si="13"/>
        <v/>
      </c>
      <c r="S146" s="17" t="str">
        <f>IF(COUNTIF($A$2:A146,A146)&gt;1,"Duplicate","Unique")</f>
        <v>Unique</v>
      </c>
      <c r="T146" s="17" t="str">
        <f t="shared" si="14"/>
        <v>No</v>
      </c>
      <c r="U146" s="17" t="str">
        <f t="shared" si="15"/>
        <v>No</v>
      </c>
      <c r="V146" s="17" t="str">
        <f t="shared" si="16"/>
        <v>Yes</v>
      </c>
      <c r="W146" s="17" t="str">
        <f t="shared" si="17"/>
        <v>Jan-2025</v>
      </c>
    </row>
    <row r="147" spans="1:23" x14ac:dyDescent="0.3">
      <c r="A147" s="17" t="str">
        <f>TRIM(Raw_Data!A147)</f>
        <v>REQ-2025-0146</v>
      </c>
      <c r="B147" s="22">
        <f>IF(Raw_Data!B147="","",IF(ISNUMBER(Raw_Data!B147),Raw_Data!B147,IF(ISNUMBER(SEARCH("/",Raw_Data!B147)),IFERROR(DATE(VALUE(RIGHT(Raw_Data!B147,4)),VALUE(MID(Raw_Data!B147,4,2)),VALUE(LEFT(Raw_Data!B147,2))),"Invalid Date"),IFERROR(DATEVALUE(Raw_Data!B147),"Invalid Date"))))</f>
        <v>45693</v>
      </c>
      <c r="C147" s="17" t="str">
        <f>IF(TRIM(Raw_Data!C147)="","",PROPER(TRIM(Raw_Data!C147)))</f>
        <v>Unit E - Medical Corps</v>
      </c>
      <c r="D147" s="17" t="str">
        <f>IF(TRIM(Raw_Data!D147)="","Not Specified",IFERROR(INDEX(Lookup_Tables!$H$6:$H$12,MATCH(TRIM(Raw_Data!D147),Lookup_Tables!$G$6:$G$12,0)),"Unknown - Review"))</f>
        <v>Central</v>
      </c>
      <c r="E147" s="17" t="str">
        <f>IF(TRIM(Raw_Data!E147)="","Not Specified",IFERROR(INDEX(Lookup_Tables!$B$6:$B$18,MATCH(TRIM(Raw_Data!E147),Lookup_Tables!$A$6:$A$18,0)),"Unknown - Review"))</f>
        <v>Tents &amp; Shelter</v>
      </c>
      <c r="F147" s="17" t="str">
        <f>IF(TRIM(Raw_Data!F147)="","",TRIM(Raw_Data!F147))</f>
        <v>Tarpaulin Sheet</v>
      </c>
      <c r="G147" s="17">
        <f>IF(Raw_Data!G147="","",IF(VALUE(Raw_Data!G147)&lt;=0,"Invalid",VALUE(Raw_Data!G147)))</f>
        <v>424</v>
      </c>
      <c r="H147" s="17">
        <f>IF(Raw_Data!H147="","",IF(VALUE(Raw_Data!H147)&lt;=0,"Invalid",VALUE(Raw_Data!H147)))</f>
        <v>296</v>
      </c>
      <c r="I147" s="23">
        <f>IFERROR(VALUE(SUBSTITUTE(SUBSTITUTE(Raw_Data!I147,"₹",""),",","")),"")</f>
        <v>28765.47</v>
      </c>
      <c r="J147" s="17" t="str">
        <f>IF(TRIM(Raw_Data!J147)="","Not Specified",PROPER(TRIM(Raw_Data!J147)))</f>
        <v>Routine</v>
      </c>
      <c r="K147" s="17" t="str">
        <f>IF(TRIM(Raw_Data!K147)="","Not Specified",IFERROR(INDEX(Lookup_Tables!$E$6:$E$13,MATCH(TRIM(Raw_Data!K147),Lookup_Tables!$D$6:$D$13,0)),"Unknown - Review"))</f>
        <v>Dispatched</v>
      </c>
      <c r="L147" s="17" t="str">
        <f>IF(TRIM(Raw_Data!L147)="","",PROPER(TRIM(Raw_Data!L147)))</f>
        <v>Stores Officer</v>
      </c>
      <c r="M147" s="22">
        <f>IF(Raw_Data!M147="","",IF(ISNUMBER(Raw_Data!M147),Raw_Data!M147,IF(ISNUMBER(SEARCH("/",Raw_Data!M147)),IFERROR(DATE(VALUE(RIGHT(Raw_Data!M147,4)),VALUE(MID(Raw_Data!M147,4,2)),VALUE(LEFT(Raw_Data!M147,2))),"Invalid Date"),IFERROR(DATEVALUE(Raw_Data!M147),"Invalid Date"))))</f>
        <v>45700</v>
      </c>
      <c r="N147" s="22">
        <f>IF(Raw_Data!N147="","",IF(ISNUMBER(Raw_Data!N147),Raw_Data!N147,IF(ISNUMBER(SEARCH("/",Raw_Data!N147)),IFERROR(DATE(VALUE(RIGHT(Raw_Data!N147,4)),VALUE(MID(Raw_Data!N147,4,2)),VALUE(LEFT(Raw_Data!N147,2))),"Invalid Date"),IFERROR(DATEVALUE(Raw_Data!N147),"Invalid Date"))))</f>
        <v>45728</v>
      </c>
      <c r="O147" s="22" t="str">
        <f>IF(Raw_Data!O147="","",IF(ISNUMBER(Raw_Data!O147),Raw_Data!O147,IF(ISNUMBER(SEARCH("/",Raw_Data!O147)),IFERROR(DATE(VALUE(RIGHT(Raw_Data!O147,4)),VALUE(MID(Raw_Data!O147,4,2)),VALUE(LEFT(Raw_Data!O147,2))),"Invalid Date"),IFERROR(DATEVALUE(Raw_Data!O147),"Invalid Date"))))</f>
        <v/>
      </c>
      <c r="P147" s="17" t="str">
        <f>IF(OR(TRIM(Raw_Data!P147)="",TRIM(Raw_Data!P147)="N/A",TRIM(Raw_Data!P147)="TBD",TRIM(Raw_Data!P147)="-"),"Not Assigned",PROPER(TRIM(Raw_Data!P147)))</f>
        <v>Not Assigned</v>
      </c>
      <c r="Q147" s="24">
        <f t="shared" si="12"/>
        <v>8514579.120000001</v>
      </c>
      <c r="R147" s="17" t="str">
        <f t="shared" si="13"/>
        <v/>
      </c>
      <c r="S147" s="17" t="str">
        <f>IF(COUNTIF($A$2:A147,A147)&gt;1,"Duplicate","Unique")</f>
        <v>Unique</v>
      </c>
      <c r="T147" s="17" t="str">
        <f t="shared" si="14"/>
        <v>No</v>
      </c>
      <c r="U147" s="17" t="str">
        <f t="shared" si="15"/>
        <v>No</v>
      </c>
      <c r="V147" s="17" t="str">
        <f t="shared" si="16"/>
        <v>Yes</v>
      </c>
      <c r="W147" s="17" t="str">
        <f t="shared" si="17"/>
        <v>Feb-2025</v>
      </c>
    </row>
    <row r="148" spans="1:23" x14ac:dyDescent="0.3">
      <c r="A148" s="17" t="str">
        <f>TRIM(Raw_Data!A148)</f>
        <v>REQ-2025-0147</v>
      </c>
      <c r="B148" s="22" t="str">
        <f>IF(Raw_Data!B148="","",IF(ISNUMBER(Raw_Data!B148),Raw_Data!B148,IF(ISNUMBER(SEARCH("/",Raw_Data!B148)),IFERROR(DATE(VALUE(RIGHT(Raw_Data!B148,4)),VALUE(MID(Raw_Data!B148,4,2)),VALUE(LEFT(Raw_Data!B148,2))),"Invalid Date"),IFERROR(DATEVALUE(Raw_Data!B148),"Invalid Date"))))</f>
        <v/>
      </c>
      <c r="C148" s="17" t="str">
        <f>IF(TRIM(Raw_Data!C148)="","",PROPER(TRIM(Raw_Data!C148)))</f>
        <v>Unit A - Infantry</v>
      </c>
      <c r="D148" s="17" t="str">
        <f>IF(TRIM(Raw_Data!D148)="","Not Specified",IFERROR(INDEX(Lookup_Tables!$H$6:$H$12,MATCH(TRIM(Raw_Data!D148),Lookup_Tables!$G$6:$G$12,0)),"Unknown - Review"))</f>
        <v>Northern</v>
      </c>
      <c r="E148" s="17" t="str">
        <f>IF(TRIM(Raw_Data!E148)="","Not Specified",IFERROR(INDEX(Lookup_Tables!$B$6:$B$18,MATCH(TRIM(Raw_Data!E148),Lookup_Tables!$A$6:$A$18,0)),"Unknown - Review"))</f>
        <v>Uniforms &amp; Clothing</v>
      </c>
      <c r="F148" s="17" t="str">
        <f>IF(TRIM(Raw_Data!F148)="","",TRIM(Raw_Data!F148))</f>
        <v>Winter Jacket</v>
      </c>
      <c r="G148" s="17" t="str">
        <f>IF(Raw_Data!G148="","",IF(VALUE(Raw_Data!G148)&lt;=0,"Invalid",VALUE(Raw_Data!G148)))</f>
        <v>Invalid</v>
      </c>
      <c r="H148" s="17">
        <f>IF(Raw_Data!H148="","",IF(VALUE(Raw_Data!H148)&lt;=0,"Invalid",VALUE(Raw_Data!H148)))</f>
        <v>44</v>
      </c>
      <c r="I148" s="23">
        <f>IFERROR(VALUE(SUBSTITUTE(SUBSTITUTE(Raw_Data!I148,"₹",""),",","")),"")</f>
        <v>22122.45</v>
      </c>
      <c r="J148" s="17" t="str">
        <f>IF(TRIM(Raw_Data!J148)="","Not Specified",PROPER(TRIM(Raw_Data!J148)))</f>
        <v>Routine</v>
      </c>
      <c r="K148" s="17" t="str">
        <f>IF(TRIM(Raw_Data!K148)="","Not Specified",IFERROR(INDEX(Lookup_Tables!$E$6:$E$13,MATCH(TRIM(Raw_Data!K148),Lookup_Tables!$D$6:$D$13,0)),"Unknown - Review"))</f>
        <v>Approved</v>
      </c>
      <c r="L148" s="17" t="str">
        <f>IF(TRIM(Raw_Data!L148)="","",PROPER(TRIM(Raw_Data!L148)))</f>
        <v>Logistics Officer</v>
      </c>
      <c r="M148" s="22">
        <f>IF(Raw_Data!M148="","",IF(ISNUMBER(Raw_Data!M148),Raw_Data!M148,IF(ISNUMBER(SEARCH("/",Raw_Data!M148)),IFERROR(DATE(VALUE(RIGHT(Raw_Data!M148,4)),VALUE(MID(Raw_Data!M148,4,2)),VALUE(LEFT(Raw_Data!M148,2))),"Invalid Date"),IFERROR(DATEVALUE(Raw_Data!M148),"Invalid Date"))))</f>
        <v>45684</v>
      </c>
      <c r="N148" s="22">
        <f>IF(Raw_Data!N148="","",IF(ISNUMBER(Raw_Data!N148),Raw_Data!N148,IF(ISNUMBER(SEARCH("/",Raw_Data!N148)),IFERROR(DATE(VALUE(RIGHT(Raw_Data!N148,4)),VALUE(MID(Raw_Data!N148,4,2)),VALUE(LEFT(Raw_Data!N148,2))),"Invalid Date"),IFERROR(DATEVALUE(Raw_Data!N148),"Invalid Date"))))</f>
        <v>45711</v>
      </c>
      <c r="O148" s="22" t="str">
        <f>IF(Raw_Data!O148="","",IF(ISNUMBER(Raw_Data!O148),Raw_Data!O148,IF(ISNUMBER(SEARCH("/",Raw_Data!O148)),IFERROR(DATE(VALUE(RIGHT(Raw_Data!O148,4)),VALUE(MID(Raw_Data!O148,4,2)),VALUE(LEFT(Raw_Data!O148,2))),"Invalid Date"),IFERROR(DATEVALUE(Raw_Data!O148),"Invalid Date"))))</f>
        <v/>
      </c>
      <c r="P148" s="17" t="str">
        <f>IF(OR(TRIM(Raw_Data!P148)="",TRIM(Raw_Data!P148)="N/A",TRIM(Raw_Data!P148)="TBD",TRIM(Raw_Data!P148)="-"),"Not Assigned",PROPER(TRIM(Raw_Data!P148)))</f>
        <v>Not Assigned</v>
      </c>
      <c r="Q148" s="24">
        <f t="shared" si="12"/>
        <v>973387.8</v>
      </c>
      <c r="R148" s="17" t="str">
        <f t="shared" si="13"/>
        <v/>
      </c>
      <c r="S148" s="17" t="str">
        <f>IF(COUNTIF($A$2:A148,A148)&gt;1,"Duplicate","Unique")</f>
        <v>Unique</v>
      </c>
      <c r="T148" s="17" t="str">
        <f t="shared" si="14"/>
        <v>No</v>
      </c>
      <c r="U148" s="17" t="str">
        <f t="shared" si="15"/>
        <v>No</v>
      </c>
      <c r="V148" s="17" t="str">
        <f t="shared" si="16"/>
        <v>No</v>
      </c>
      <c r="W148" s="17" t="str">
        <f t="shared" si="17"/>
        <v/>
      </c>
    </row>
    <row r="149" spans="1:23" x14ac:dyDescent="0.3">
      <c r="A149" s="17" t="str">
        <f>TRIM(Raw_Data!A149)</f>
        <v>REQ-2025-0148</v>
      </c>
      <c r="B149" s="22">
        <f>IF(Raw_Data!B149="","",IF(ISNUMBER(Raw_Data!B149),Raw_Data!B149,IF(ISNUMBER(SEARCH("/",Raw_Data!B149)),IFERROR(DATE(VALUE(RIGHT(Raw_Data!B149,4)),VALUE(MID(Raw_Data!B149,4,2)),VALUE(LEFT(Raw_Data!B149,2))),"Invalid Date"),IFERROR(DATEVALUE(Raw_Data!B149),"Invalid Date"))))</f>
        <v>45768</v>
      </c>
      <c r="C149" s="17" t="str">
        <f>IF(TRIM(Raw_Data!C149)="","",PROPER(TRIM(Raw_Data!C149)))</f>
        <v>Unit A - Infantry</v>
      </c>
      <c r="D149" s="17" t="str">
        <f>IF(TRIM(Raw_Data!D149)="","Not Specified",IFERROR(INDEX(Lookup_Tables!$H$6:$H$12,MATCH(TRIM(Raw_Data!D149),Lookup_Tables!$G$6:$G$12,0)),"Unknown - Review"))</f>
        <v>Northern</v>
      </c>
      <c r="E149" s="17" t="str">
        <f>IF(TRIM(Raw_Data!E149)="","Not Specified",IFERROR(INDEX(Lookup_Tables!$B$6:$B$18,MATCH(TRIM(Raw_Data!E149),Lookup_Tables!$A$6:$A$18,0)),"Unknown - Review"))</f>
        <v>Communication Equipment</v>
      </c>
      <c r="F149" s="17" t="str">
        <f>IF(TRIM(Raw_Data!F149)="","",TRIM(Raw_Data!F149))</f>
        <v>Field Radio Set</v>
      </c>
      <c r="G149" s="17">
        <f>IF(Raw_Data!G149="","",IF(VALUE(Raw_Data!G149)&lt;=0,"Invalid",VALUE(Raw_Data!G149)))</f>
        <v>376</v>
      </c>
      <c r="H149" s="17">
        <f>IF(Raw_Data!H149="","",IF(VALUE(Raw_Data!H149)&lt;=0,"Invalid",VALUE(Raw_Data!H149)))</f>
        <v>284</v>
      </c>
      <c r="I149" s="23">
        <f>IFERROR(VALUE(SUBSTITUTE(SUBSTITUTE(Raw_Data!I149,"₹",""),",","")),"")</f>
        <v>29611</v>
      </c>
      <c r="J149" s="17" t="str">
        <f>IF(TRIM(Raw_Data!J149)="","Not Specified",PROPER(TRIM(Raw_Data!J149)))</f>
        <v>High</v>
      </c>
      <c r="K149" s="17" t="str">
        <f>IF(TRIM(Raw_Data!K149)="","Not Specified",IFERROR(INDEX(Lookup_Tables!$E$6:$E$13,MATCH(TRIM(Raw_Data!K149),Lookup_Tables!$D$6:$D$13,0)),"Unknown - Review"))</f>
        <v>Delivered</v>
      </c>
      <c r="L149" s="17" t="str">
        <f>IF(TRIM(Raw_Data!L149)="","",PROPER(TRIM(Raw_Data!L149)))</f>
        <v>Quartermaster</v>
      </c>
      <c r="M149" s="22">
        <f>IF(Raw_Data!M149="","",IF(ISNUMBER(Raw_Data!M149),Raw_Data!M149,IF(ISNUMBER(SEARCH("/",Raw_Data!M149)),IFERROR(DATE(VALUE(RIGHT(Raw_Data!M149,4)),VALUE(MID(Raw_Data!M149,4,2)),VALUE(LEFT(Raw_Data!M149,2))),"Invalid Date"),IFERROR(DATEVALUE(Raw_Data!M149),"Invalid Date"))))</f>
        <v>45778</v>
      </c>
      <c r="N149" s="22">
        <f>IF(Raw_Data!N149="","",IF(ISNUMBER(Raw_Data!N149),Raw_Data!N149,IF(ISNUMBER(SEARCH("/",Raw_Data!N149)),IFERROR(DATE(VALUE(RIGHT(Raw_Data!N149,4)),VALUE(MID(Raw_Data!N149,4,2)),VALUE(LEFT(Raw_Data!N149,2))),"Invalid Date"),IFERROR(DATEVALUE(Raw_Data!N149),"Invalid Date"))))</f>
        <v>45803</v>
      </c>
      <c r="O149" s="22">
        <f>IF(Raw_Data!O149="","",IF(ISNUMBER(Raw_Data!O149),Raw_Data!O149,IF(ISNUMBER(SEARCH("/",Raw_Data!O149)),IFERROR(DATE(VALUE(RIGHT(Raw_Data!O149,4)),VALUE(MID(Raw_Data!O149,4,2)),VALUE(LEFT(Raw_Data!O149,2))),"Invalid Date"),IFERROR(DATEVALUE(Raw_Data!O149),"Invalid Date"))))</f>
        <v>45803</v>
      </c>
      <c r="P149" s="17" t="str">
        <f>IF(OR(TRIM(Raw_Data!P149)="",TRIM(Raw_Data!P149)="N/A",TRIM(Raw_Data!P149)="TBD",TRIM(Raw_Data!P149)="-"),"Not Assigned",PROPER(TRIM(Raw_Data!P149)))</f>
        <v>Rapid Vendors Ltd</v>
      </c>
      <c r="Q149" s="24">
        <f t="shared" si="12"/>
        <v>8409524</v>
      </c>
      <c r="R149" s="17">
        <f t="shared" si="13"/>
        <v>0</v>
      </c>
      <c r="S149" s="17" t="str">
        <f>IF(COUNTIF($A$2:A149,A149)&gt;1,"Duplicate","Unique")</f>
        <v>Unique</v>
      </c>
      <c r="T149" s="17" t="str">
        <f t="shared" si="14"/>
        <v>No</v>
      </c>
      <c r="U149" s="17" t="str">
        <f t="shared" si="15"/>
        <v>No</v>
      </c>
      <c r="V149" s="17" t="str">
        <f t="shared" si="16"/>
        <v>Yes</v>
      </c>
      <c r="W149" s="17" t="str">
        <f t="shared" si="17"/>
        <v>Apr-2025</v>
      </c>
    </row>
    <row r="150" spans="1:23" x14ac:dyDescent="0.3">
      <c r="A150" s="17" t="str">
        <f>TRIM(Raw_Data!A150)</f>
        <v>REQ-2025-0149</v>
      </c>
      <c r="B150" s="22">
        <f>IF(Raw_Data!B150="","",IF(ISNUMBER(Raw_Data!B150),Raw_Data!B150,IF(ISNUMBER(SEARCH("/",Raw_Data!B150)),IFERROR(DATE(VALUE(RIGHT(Raw_Data!B150,4)),VALUE(MID(Raw_Data!B150,4,2)),VALUE(LEFT(Raw_Data!B150,2))),"Invalid Date"),IFERROR(DATEVALUE(Raw_Data!B150),"Invalid Date"))))</f>
        <v>45969</v>
      </c>
      <c r="C150" s="17" t="str">
        <f>IF(TRIM(Raw_Data!C150)="","",PROPER(TRIM(Raw_Data!C150)))</f>
        <v>Unit G - Transport Corps</v>
      </c>
      <c r="D150" s="17" t="str">
        <f>IF(TRIM(Raw_Data!D150)="","Not Specified",IFERROR(INDEX(Lookup_Tables!$H$6:$H$12,MATCH(TRIM(Raw_Data!D150),Lookup_Tables!$G$6:$G$12,0)),"Unknown - Review"))</f>
        <v>Southern</v>
      </c>
      <c r="E150" s="17" t="str">
        <f>IF(TRIM(Raw_Data!E150)="","Not Specified",IFERROR(INDEX(Lookup_Tables!$B$6:$B$18,MATCH(TRIM(Raw_Data!E150),Lookup_Tables!$A$6:$A$18,0)),"Unknown - Review"))</f>
        <v>Construction Material</v>
      </c>
      <c r="F150" s="17" t="str">
        <f>IF(TRIM(Raw_Data!F150)="","",TRIM(Raw_Data!F150))</f>
        <v>Sandbag (Pack of 50)</v>
      </c>
      <c r="G150" s="17">
        <f>IF(Raw_Data!G150="","",IF(VALUE(Raw_Data!G150)&lt;=0,"Invalid",VALUE(Raw_Data!G150)))</f>
        <v>397</v>
      </c>
      <c r="H150" s="17">
        <f>IF(Raw_Data!H150="","",IF(VALUE(Raw_Data!H150)&lt;=0,"Invalid",VALUE(Raw_Data!H150)))</f>
        <v>320</v>
      </c>
      <c r="I150" s="23">
        <f>IFERROR(VALUE(SUBSTITUTE(SUBSTITUTE(Raw_Data!I150,"₹",""),",","")),"")</f>
        <v>20440</v>
      </c>
      <c r="J150" s="17" t="str">
        <f>IF(TRIM(Raw_Data!J150)="","Not Specified",PROPER(TRIM(Raw_Data!J150)))</f>
        <v>Medium</v>
      </c>
      <c r="K150" s="17" t="str">
        <f>IF(TRIM(Raw_Data!K150)="","Not Specified",IFERROR(INDEX(Lookup_Tables!$E$6:$E$13,MATCH(TRIM(Raw_Data!K150),Lookup_Tables!$D$6:$D$13,0)),"Unknown - Review"))</f>
        <v>Approved</v>
      </c>
      <c r="L150" s="17" t="str">
        <f>IF(TRIM(Raw_Data!L150)="","",PROPER(TRIM(Raw_Data!L150)))</f>
        <v>Unit Commander</v>
      </c>
      <c r="M150" s="22">
        <f>IF(Raw_Data!M150="","",IF(ISNUMBER(Raw_Data!M150),Raw_Data!M150,IF(ISNUMBER(SEARCH("/",Raw_Data!M150)),IFERROR(DATE(VALUE(RIGHT(Raw_Data!M150,4)),VALUE(MID(Raw_Data!M150,4,2)),VALUE(LEFT(Raw_Data!M150,2))),"Invalid Date"),IFERROR(DATEVALUE(Raw_Data!M150),"Invalid Date"))))</f>
        <v>45976</v>
      </c>
      <c r="N150" s="22">
        <f>IF(Raw_Data!N150="","",IF(ISNUMBER(Raw_Data!N150),Raw_Data!N150,IF(ISNUMBER(SEARCH("/",Raw_Data!N150)),IFERROR(DATE(VALUE(RIGHT(Raw_Data!N150,4)),VALUE(MID(Raw_Data!N150,4,2)),VALUE(LEFT(Raw_Data!N150,2))),"Invalid Date"),IFERROR(DATEVALUE(Raw_Data!N150),"Invalid Date"))))</f>
        <v>45981</v>
      </c>
      <c r="O150" s="22" t="str">
        <f>IF(Raw_Data!O150="","",IF(ISNUMBER(Raw_Data!O150),Raw_Data!O150,IF(ISNUMBER(SEARCH("/",Raw_Data!O150)),IFERROR(DATE(VALUE(RIGHT(Raw_Data!O150,4)),VALUE(MID(Raw_Data!O150,4,2)),VALUE(LEFT(Raw_Data!O150,2))),"Invalid Date"),IFERROR(DATEVALUE(Raw_Data!O150),"Invalid Date"))))</f>
        <v/>
      </c>
      <c r="P150" s="17" t="str">
        <f>IF(OR(TRIM(Raw_Data!P150)="",TRIM(Raw_Data!P150)="N/A",TRIM(Raw_Data!P150)="TBD",TRIM(Raw_Data!P150)="-"),"Not Assigned",PROPER(TRIM(Raw_Data!P150)))</f>
        <v>Bharat Logistics Pvt Ltd</v>
      </c>
      <c r="Q150" s="24">
        <f t="shared" si="12"/>
        <v>6540800</v>
      </c>
      <c r="R150" s="17" t="str">
        <f t="shared" si="13"/>
        <v/>
      </c>
      <c r="S150" s="17" t="str">
        <f>IF(COUNTIF($A$2:A150,A150)&gt;1,"Duplicate","Unique")</f>
        <v>Unique</v>
      </c>
      <c r="T150" s="17" t="str">
        <f t="shared" si="14"/>
        <v>No</v>
      </c>
      <c r="U150" s="17" t="str">
        <f t="shared" si="15"/>
        <v>No</v>
      </c>
      <c r="V150" s="17" t="str">
        <f t="shared" si="16"/>
        <v>Yes</v>
      </c>
      <c r="W150" s="17" t="str">
        <f t="shared" si="17"/>
        <v>Nov-2025</v>
      </c>
    </row>
    <row r="151" spans="1:23" x14ac:dyDescent="0.3">
      <c r="A151" s="17" t="str">
        <f>TRIM(Raw_Data!A151)</f>
        <v>REQ-2025-0150</v>
      </c>
      <c r="B151" s="22">
        <f>IF(Raw_Data!B151="","",IF(ISNUMBER(Raw_Data!B151),Raw_Data!B151,IF(ISNUMBER(SEARCH("/",Raw_Data!B151)),IFERROR(DATE(VALUE(RIGHT(Raw_Data!B151,4)),VALUE(MID(Raw_Data!B151,4,2)),VALUE(LEFT(Raw_Data!B151,2))),"Invalid Date"),IFERROR(DATEVALUE(Raw_Data!B151),"Invalid Date"))))</f>
        <v>45956</v>
      </c>
      <c r="C151" s="17" t="str">
        <f>IF(TRIM(Raw_Data!C151)="","",PROPER(TRIM(Raw_Data!C151)))</f>
        <v>Unit F - Ordnance Depot</v>
      </c>
      <c r="D151" s="17" t="str">
        <f>IF(TRIM(Raw_Data!D151)="","Not Specified",IFERROR(INDEX(Lookup_Tables!$H$6:$H$12,MATCH(TRIM(Raw_Data!D151),Lookup_Tables!$G$6:$G$12,0)),"Unknown - Review"))</f>
        <v>Northern</v>
      </c>
      <c r="E151" s="17" t="str">
        <f>IF(TRIM(Raw_Data!E151)="","Not Specified",IFERROR(INDEX(Lookup_Tables!$B$6:$B$18,MATCH(TRIM(Raw_Data!E151),Lookup_Tables!$A$6:$A$18,0)),"Unknown - Review"))</f>
        <v>Communication Equipment</v>
      </c>
      <c r="F151" s="17" t="str">
        <f>IF(TRIM(Raw_Data!F151)="","",TRIM(Raw_Data!F151))</f>
        <v>Battery Pack (Radio)</v>
      </c>
      <c r="G151" s="17">
        <f>IF(Raw_Data!G151="","",IF(VALUE(Raw_Data!G151)&lt;=0,"Invalid",VALUE(Raw_Data!G151)))</f>
        <v>52</v>
      </c>
      <c r="H151" s="17">
        <f>IF(Raw_Data!H151="","",IF(VALUE(Raw_Data!H151)&lt;=0,"Invalid",VALUE(Raw_Data!H151)))</f>
        <v>39</v>
      </c>
      <c r="I151" s="23">
        <f>IFERROR(VALUE(SUBSTITUTE(SUBSTITUTE(Raw_Data!I151,"₹",""),",","")),"")</f>
        <v>3612</v>
      </c>
      <c r="J151" s="17" t="str">
        <f>IF(TRIM(Raw_Data!J151)="","Not Specified",PROPER(TRIM(Raw_Data!J151)))</f>
        <v>Low</v>
      </c>
      <c r="K151" s="17" t="str">
        <f>IF(TRIM(Raw_Data!K151)="","Not Specified",IFERROR(INDEX(Lookup_Tables!$E$6:$E$13,MATCH(TRIM(Raw_Data!K151),Lookup_Tables!$D$6:$D$13,0)),"Unknown - Review"))</f>
        <v>Approved</v>
      </c>
      <c r="L151" s="17" t="str">
        <f>IF(TRIM(Raw_Data!L151)="","",PROPER(TRIM(Raw_Data!L151)))</f>
        <v>Stores Officer</v>
      </c>
      <c r="M151" s="22">
        <f>IF(Raw_Data!M151="","",IF(ISNUMBER(Raw_Data!M151),Raw_Data!M151,IF(ISNUMBER(SEARCH("/",Raw_Data!M151)),IFERROR(DATE(VALUE(RIGHT(Raw_Data!M151,4)),VALUE(MID(Raw_Data!M151,4,2)),VALUE(LEFT(Raw_Data!M151,2))),"Invalid Date"),IFERROR(DATEVALUE(Raw_Data!M151),"Invalid Date"))))</f>
        <v>45962</v>
      </c>
      <c r="N151" s="22">
        <f>IF(Raw_Data!N151="","",IF(ISNUMBER(Raw_Data!N151),Raw_Data!N151,IF(ISNUMBER(SEARCH("/",Raw_Data!N151)),IFERROR(DATE(VALUE(RIGHT(Raw_Data!N151,4)),VALUE(MID(Raw_Data!N151,4,2)),VALUE(LEFT(Raw_Data!N151,2))),"Invalid Date"),IFERROR(DATEVALUE(Raw_Data!N151),"Invalid Date"))))</f>
        <v>45992</v>
      </c>
      <c r="O151" s="22" t="str">
        <f>IF(Raw_Data!O151="","",IF(ISNUMBER(Raw_Data!O151),Raw_Data!O151,IF(ISNUMBER(SEARCH("/",Raw_Data!O151)),IFERROR(DATE(VALUE(RIGHT(Raw_Data!O151,4)),VALUE(MID(Raw_Data!O151,4,2)),VALUE(LEFT(Raw_Data!O151,2))),"Invalid Date"),IFERROR(DATEVALUE(Raw_Data!O151),"Invalid Date"))))</f>
        <v/>
      </c>
      <c r="P151" s="17" t="str">
        <f>IF(OR(TRIM(Raw_Data!P151)="",TRIM(Raw_Data!P151)="N/A",TRIM(Raw_Data!P151)="TBD",TRIM(Raw_Data!P151)="-"),"Not Assigned",PROPER(TRIM(Raw_Data!P151)))</f>
        <v>Central Ordnance Suppliers</v>
      </c>
      <c r="Q151" s="24">
        <f t="shared" si="12"/>
        <v>140868</v>
      </c>
      <c r="R151" s="17" t="str">
        <f t="shared" si="13"/>
        <v/>
      </c>
      <c r="S151" s="17" t="str">
        <f>IF(COUNTIF($A$2:A151,A151)&gt;1,"Duplicate","Unique")</f>
        <v>Unique</v>
      </c>
      <c r="T151" s="17" t="str">
        <f t="shared" si="14"/>
        <v>No</v>
      </c>
      <c r="U151" s="17" t="str">
        <f t="shared" si="15"/>
        <v>No</v>
      </c>
      <c r="V151" s="17" t="str">
        <f t="shared" si="16"/>
        <v>Yes</v>
      </c>
      <c r="W151" s="17" t="str">
        <f t="shared" si="17"/>
        <v>Oct-2025</v>
      </c>
    </row>
    <row r="152" spans="1:23" x14ac:dyDescent="0.3">
      <c r="A152" s="17" t="str">
        <f>TRIM(Raw_Data!A152)</f>
        <v>REQ-2025-0151</v>
      </c>
      <c r="B152" s="22">
        <f>IF(Raw_Data!B152="","",IF(ISNUMBER(Raw_Data!B152),Raw_Data!B152,IF(ISNUMBER(SEARCH("/",Raw_Data!B152)),IFERROR(DATE(VALUE(RIGHT(Raw_Data!B152,4)),VALUE(MID(Raw_Data!B152,4,2)),VALUE(LEFT(Raw_Data!B152,2))),"Invalid Date"),IFERROR(DATEVALUE(Raw_Data!B152),"Invalid Date"))))</f>
        <v>45685</v>
      </c>
      <c r="C152" s="17" t="str">
        <f>IF(TRIM(Raw_Data!C152)="","",PROPER(TRIM(Raw_Data!C152)))</f>
        <v>Unit D - Signals</v>
      </c>
      <c r="D152" s="17" t="str">
        <f>IF(TRIM(Raw_Data!D152)="","Not Specified",IFERROR(INDEX(Lookup_Tables!$H$6:$H$12,MATCH(TRIM(Raw_Data!D152),Lookup_Tables!$G$6:$G$12,0)),"Unknown - Review"))</f>
        <v>Western</v>
      </c>
      <c r="E152" s="17" t="str">
        <f>IF(TRIM(Raw_Data!E152)="","Not Specified",IFERROR(INDEX(Lookup_Tables!$B$6:$B$18,MATCH(TRIM(Raw_Data!E152),Lookup_Tables!$A$6:$A$18,0)),"Unknown - Review"))</f>
        <v>Rations</v>
      </c>
      <c r="F152" s="17" t="str">
        <f>IF(TRIM(Raw_Data!F152)="","",TRIM(Raw_Data!F152))</f>
        <v>Wheat Flour (50kg bag)</v>
      </c>
      <c r="G152" s="17">
        <f>IF(Raw_Data!G152="","",IF(VALUE(Raw_Data!G152)&lt;=0,"Invalid",VALUE(Raw_Data!G152)))</f>
        <v>281</v>
      </c>
      <c r="H152" s="17">
        <f>IF(Raw_Data!H152="","",IF(VALUE(Raw_Data!H152)&lt;=0,"Invalid",VALUE(Raw_Data!H152)))</f>
        <v>255</v>
      </c>
      <c r="I152" s="23">
        <f>IFERROR(VALUE(SUBSTITUTE(SUBSTITUTE(Raw_Data!I152,"₹",""),",","")),"")</f>
        <v>7020.91</v>
      </c>
      <c r="J152" s="17" t="str">
        <f>IF(TRIM(Raw_Data!J152)="","Not Specified",PROPER(TRIM(Raw_Data!J152)))</f>
        <v>High</v>
      </c>
      <c r="K152" s="17" t="str">
        <f>IF(TRIM(Raw_Data!K152)="","Not Specified",IFERROR(INDEX(Lookup_Tables!$E$6:$E$13,MATCH(TRIM(Raw_Data!K152),Lookup_Tables!$D$6:$D$13,0)),"Unknown - Review"))</f>
        <v>Approved</v>
      </c>
      <c r="L152" s="17" t="str">
        <f>IF(TRIM(Raw_Data!L152)="","",PROPER(TRIM(Raw_Data!L152)))</f>
        <v>Stores Officer</v>
      </c>
      <c r="M152" s="22">
        <f>IF(Raw_Data!M152="","",IF(ISNUMBER(Raw_Data!M152),Raw_Data!M152,IF(ISNUMBER(SEARCH("/",Raw_Data!M152)),IFERROR(DATE(VALUE(RIGHT(Raw_Data!M152,4)),VALUE(MID(Raw_Data!M152,4,2)),VALUE(LEFT(Raw_Data!M152,2))),"Invalid Date"),IFERROR(DATEVALUE(Raw_Data!M152),"Invalid Date"))))</f>
        <v>45692</v>
      </c>
      <c r="N152" s="22">
        <f>IF(Raw_Data!N152="","",IF(ISNUMBER(Raw_Data!N152),Raw_Data!N152,IF(ISNUMBER(SEARCH("/",Raw_Data!N152)),IFERROR(DATE(VALUE(RIGHT(Raw_Data!N152,4)),VALUE(MID(Raw_Data!N152,4,2)),VALUE(LEFT(Raw_Data!N152,2))),"Invalid Date"),IFERROR(DATEVALUE(Raw_Data!N152),"Invalid Date"))))</f>
        <v>45711</v>
      </c>
      <c r="O152" s="22" t="str">
        <f>IF(Raw_Data!O152="","",IF(ISNUMBER(Raw_Data!O152),Raw_Data!O152,IF(ISNUMBER(SEARCH("/",Raw_Data!O152)),IFERROR(DATE(VALUE(RIGHT(Raw_Data!O152,4)),VALUE(MID(Raw_Data!O152,4,2)),VALUE(LEFT(Raw_Data!O152,2))),"Invalid Date"),IFERROR(DATEVALUE(Raw_Data!O152),"Invalid Date"))))</f>
        <v/>
      </c>
      <c r="P152" s="17" t="str">
        <f>IF(OR(TRIM(Raw_Data!P152)="",TRIM(Raw_Data!P152)="N/A",TRIM(Raw_Data!P152)="TBD",TRIM(Raw_Data!P152)="-"),"Not Assigned",PROPER(TRIM(Raw_Data!P152)))</f>
        <v>Sena Supply Co</v>
      </c>
      <c r="Q152" s="24">
        <f t="shared" si="12"/>
        <v>1790332.05</v>
      </c>
      <c r="R152" s="17" t="str">
        <f t="shared" si="13"/>
        <v/>
      </c>
      <c r="S152" s="17" t="str">
        <f>IF(COUNTIF($A$2:A152,A152)&gt;1,"Duplicate","Unique")</f>
        <v>Unique</v>
      </c>
      <c r="T152" s="17" t="str">
        <f t="shared" si="14"/>
        <v>No</v>
      </c>
      <c r="U152" s="17" t="str">
        <f t="shared" si="15"/>
        <v>No</v>
      </c>
      <c r="V152" s="17" t="str">
        <f t="shared" si="16"/>
        <v>Yes</v>
      </c>
      <c r="W152" s="17" t="str">
        <f t="shared" si="17"/>
        <v>Jan-2025</v>
      </c>
    </row>
    <row r="153" spans="1:23" x14ac:dyDescent="0.3">
      <c r="A153" s="17" t="str">
        <f>TRIM(Raw_Data!A153)</f>
        <v>REQ-2025-0152</v>
      </c>
      <c r="B153" s="22">
        <f>IF(Raw_Data!B153="","",IF(ISNUMBER(Raw_Data!B153),Raw_Data!B153,IF(ISNUMBER(SEARCH("/",Raw_Data!B153)),IFERROR(DATE(VALUE(RIGHT(Raw_Data!B153,4)),VALUE(MID(Raw_Data!B153,4,2)),VALUE(LEFT(Raw_Data!B153,2))),"Invalid Date"),IFERROR(DATEVALUE(Raw_Data!B153),"Invalid Date"))))</f>
        <v>45823</v>
      </c>
      <c r="C153" s="17" t="str">
        <f>IF(TRIM(Raw_Data!C153)="","",PROPER(TRIM(Raw_Data!C153)))</f>
        <v>Unit D - Signals</v>
      </c>
      <c r="D153" s="17" t="str">
        <f>IF(TRIM(Raw_Data!D153)="","Not Specified",IFERROR(INDEX(Lookup_Tables!$H$6:$H$12,MATCH(TRIM(Raw_Data!D153),Lookup_Tables!$G$6:$G$12,0)),"Unknown - Review"))</f>
        <v>Western</v>
      </c>
      <c r="E153" s="17" t="str">
        <f>IF(TRIM(Raw_Data!E153)="","Not Specified",IFERROR(INDEX(Lookup_Tables!$B$6:$B$18,MATCH(TRIM(Raw_Data!E153),Lookup_Tables!$A$6:$A$18,0)),"Unknown - Review"))</f>
        <v>Communication Equipment</v>
      </c>
      <c r="F153" s="17" t="str">
        <f>IF(TRIM(Raw_Data!F153)="","",TRIM(Raw_Data!F153))</f>
        <v>Antenna Unit</v>
      </c>
      <c r="G153" s="17">
        <f>IF(Raw_Data!G153="","",IF(VALUE(Raw_Data!G153)&lt;=0,"Invalid",VALUE(Raw_Data!G153)))</f>
        <v>348</v>
      </c>
      <c r="H153" s="17">
        <f>IF(Raw_Data!H153="","",IF(VALUE(Raw_Data!H153)&lt;=0,"Invalid",VALUE(Raw_Data!H153)))</f>
        <v>263</v>
      </c>
      <c r="I153" s="23">
        <f>IFERROR(VALUE(SUBSTITUTE(SUBSTITUTE(Raw_Data!I153,"₹",""),",","")),"")</f>
        <v>15601.94</v>
      </c>
      <c r="J153" s="17" t="str">
        <f>IF(TRIM(Raw_Data!J153)="","Not Specified",PROPER(TRIM(Raw_Data!J153)))</f>
        <v>High</v>
      </c>
      <c r="K153" s="17" t="str">
        <f>IF(TRIM(Raw_Data!K153)="","Not Specified",IFERROR(INDEX(Lookup_Tables!$E$6:$E$13,MATCH(TRIM(Raw_Data!K153),Lookup_Tables!$D$6:$D$13,0)),"Unknown - Review"))</f>
        <v>Delivered</v>
      </c>
      <c r="L153" s="17" t="str">
        <f>IF(TRIM(Raw_Data!L153)="","",PROPER(TRIM(Raw_Data!L153)))</f>
        <v>Quartermaster</v>
      </c>
      <c r="M153" s="22">
        <f>IF(Raw_Data!M153="","",IF(ISNUMBER(Raw_Data!M153),Raw_Data!M153,IF(ISNUMBER(SEARCH("/",Raw_Data!M153)),IFERROR(DATE(VALUE(RIGHT(Raw_Data!M153,4)),VALUE(MID(Raw_Data!M153,4,2)),VALUE(LEFT(Raw_Data!M153,2))),"Invalid Date"),IFERROR(DATEVALUE(Raw_Data!M153),"Invalid Date"))))</f>
        <v>45824</v>
      </c>
      <c r="N153" s="22">
        <f>IF(Raw_Data!N153="","",IF(ISNUMBER(Raw_Data!N153),Raw_Data!N153,IF(ISNUMBER(SEARCH("/",Raw_Data!N153)),IFERROR(DATE(VALUE(RIGHT(Raw_Data!N153,4)),VALUE(MID(Raw_Data!N153,4,2)),VALUE(LEFT(Raw_Data!N153,2))),"Invalid Date"),IFERROR(DATEVALUE(Raw_Data!N153),"Invalid Date"))))</f>
        <v>45853</v>
      </c>
      <c r="O153" s="22">
        <f>IF(Raw_Data!O153="","",IF(ISNUMBER(Raw_Data!O153),Raw_Data!O153,IF(ISNUMBER(SEARCH("/",Raw_Data!O153)),IFERROR(DATE(VALUE(RIGHT(Raw_Data!O153,4)),VALUE(MID(Raw_Data!O153,4,2)),VALUE(LEFT(Raw_Data!O153,2))),"Invalid Date"),IFERROR(DATEVALUE(Raw_Data!O153),"Invalid Date"))))</f>
        <v>45857</v>
      </c>
      <c r="P153" s="17" t="str">
        <f>IF(OR(TRIM(Raw_Data!P153)="",TRIM(Raw_Data!P153)="N/A",TRIM(Raw_Data!P153)="TBD",TRIM(Raw_Data!P153)="-"),"Not Assigned",PROPER(TRIM(Raw_Data!P153)))</f>
        <v>National Defence Stores</v>
      </c>
      <c r="Q153" s="24">
        <f t="shared" si="12"/>
        <v>4103310.22</v>
      </c>
      <c r="R153" s="17">
        <f t="shared" si="13"/>
        <v>4</v>
      </c>
      <c r="S153" s="17" t="str">
        <f>IF(COUNTIF($A$2:A153,A153)&gt;1,"Duplicate","Unique")</f>
        <v>Unique</v>
      </c>
      <c r="T153" s="17" t="str">
        <f t="shared" si="14"/>
        <v>No</v>
      </c>
      <c r="U153" s="17" t="str">
        <f t="shared" si="15"/>
        <v>No</v>
      </c>
      <c r="V153" s="17" t="str">
        <f t="shared" si="16"/>
        <v>Yes</v>
      </c>
      <c r="W153" s="17" t="str">
        <f t="shared" si="17"/>
        <v>Jun-2025</v>
      </c>
    </row>
    <row r="154" spans="1:23" x14ac:dyDescent="0.3">
      <c r="A154" s="17" t="str">
        <f>TRIM(Raw_Data!A154)</f>
        <v>REQ-2025-0153</v>
      </c>
      <c r="B154" s="22">
        <f>IF(Raw_Data!B154="","",IF(ISNUMBER(Raw_Data!B154),Raw_Data!B154,IF(ISNUMBER(SEARCH("/",Raw_Data!B154)),IFERROR(DATE(VALUE(RIGHT(Raw_Data!B154,4)),VALUE(MID(Raw_Data!B154,4,2)),VALUE(LEFT(Raw_Data!B154,2))),"Invalid Date"),IFERROR(DATEVALUE(Raw_Data!B154),"Invalid Date"))))</f>
        <v>45827</v>
      </c>
      <c r="C154" s="17" t="str">
        <f>IF(TRIM(Raw_Data!C154)="","",PROPER(TRIM(Raw_Data!C154)))</f>
        <v>Unit B - Artillery</v>
      </c>
      <c r="D154" s="17" t="str">
        <f>IF(TRIM(Raw_Data!D154)="","Not Specified",IFERROR(INDEX(Lookup_Tables!$H$6:$H$12,MATCH(TRIM(Raw_Data!D154),Lookup_Tables!$G$6:$G$12,0)),"Unknown - Review"))</f>
        <v>Southern</v>
      </c>
      <c r="E154" s="17" t="str">
        <f>IF(TRIM(Raw_Data!E154)="","Not Specified",IFERROR(INDEX(Lookup_Tables!$B$6:$B$18,MATCH(TRIM(Raw_Data!E154),Lookup_Tables!$A$6:$A$18,0)),"Unknown - Review"))</f>
        <v>Office &amp; IT Equipment</v>
      </c>
      <c r="F154" s="17" t="str">
        <f>IF(TRIM(Raw_Data!F154)="","",TRIM(Raw_Data!F154))</f>
        <v>Desktop Computer</v>
      </c>
      <c r="G154" s="17">
        <f>IF(Raw_Data!G154="","",IF(VALUE(Raw_Data!G154)&lt;=0,"Invalid",VALUE(Raw_Data!G154)))</f>
        <v>284</v>
      </c>
      <c r="H154" s="17">
        <f>IF(Raw_Data!H154="","",IF(VALUE(Raw_Data!H154)&lt;=0,"Invalid",VALUE(Raw_Data!H154)))</f>
        <v>239</v>
      </c>
      <c r="I154" s="23">
        <f>IFERROR(VALUE(SUBSTITUTE(SUBSTITUTE(Raw_Data!I154,"₹",""),",","")),"")</f>
        <v>32887.07</v>
      </c>
      <c r="J154" s="17" t="str">
        <f>IF(TRIM(Raw_Data!J154)="","Not Specified",PROPER(TRIM(Raw_Data!J154)))</f>
        <v>Medium</v>
      </c>
      <c r="K154" s="17" t="str">
        <f>IF(TRIM(Raw_Data!K154)="","Not Specified",IFERROR(INDEX(Lookup_Tables!$E$6:$E$13,MATCH(TRIM(Raw_Data!K154),Lookup_Tables!$D$6:$D$13,0)),"Unknown - Review"))</f>
        <v>Approved</v>
      </c>
      <c r="L154" s="17" t="str">
        <f>IF(TRIM(Raw_Data!L154)="","",PROPER(TRIM(Raw_Data!L154)))</f>
        <v>Logistics Officer</v>
      </c>
      <c r="M154" s="22">
        <f>IF(Raw_Data!M154="","",IF(ISNUMBER(Raw_Data!M154),Raw_Data!M154,IF(ISNUMBER(SEARCH("/",Raw_Data!M154)),IFERROR(DATE(VALUE(RIGHT(Raw_Data!M154,4)),VALUE(MID(Raw_Data!M154,4,2)),VALUE(LEFT(Raw_Data!M154,2))),"Invalid Date"),IFERROR(DATEVALUE(Raw_Data!M154),"Invalid Date"))))</f>
        <v>45830</v>
      </c>
      <c r="N154" s="22">
        <f>IF(Raw_Data!N154="","",IF(ISNUMBER(Raw_Data!N154),Raw_Data!N154,IF(ISNUMBER(SEARCH("/",Raw_Data!N154)),IFERROR(DATE(VALUE(RIGHT(Raw_Data!N154,4)),VALUE(MID(Raw_Data!N154,4,2)),VALUE(LEFT(Raw_Data!N154,2))),"Invalid Date"),IFERROR(DATEVALUE(Raw_Data!N154),"Invalid Date"))))</f>
        <v>45857</v>
      </c>
      <c r="O154" s="22" t="str">
        <f>IF(Raw_Data!O154="","",IF(ISNUMBER(Raw_Data!O154),Raw_Data!O154,IF(ISNUMBER(SEARCH("/",Raw_Data!O154)),IFERROR(DATE(VALUE(RIGHT(Raw_Data!O154,4)),VALUE(MID(Raw_Data!O154,4,2)),VALUE(LEFT(Raw_Data!O154,2))),"Invalid Date"),IFERROR(DATEVALUE(Raw_Data!O154),"Invalid Date"))))</f>
        <v/>
      </c>
      <c r="P154" s="17" t="str">
        <f>IF(OR(TRIM(Raw_Data!P154)="",TRIM(Raw_Data!P154)="N/A",TRIM(Raw_Data!P154)="TBD",TRIM(Raw_Data!P154)="-"),"Not Assigned",PROPER(TRIM(Raw_Data!P154)))</f>
        <v>Not Assigned</v>
      </c>
      <c r="Q154" s="24">
        <f t="shared" si="12"/>
        <v>7860009.7299999995</v>
      </c>
      <c r="R154" s="17" t="str">
        <f t="shared" si="13"/>
        <v/>
      </c>
      <c r="S154" s="17" t="str">
        <f>IF(COUNTIF($A$2:A154,A154)&gt;1,"Duplicate","Unique")</f>
        <v>Unique</v>
      </c>
      <c r="T154" s="17" t="str">
        <f t="shared" si="14"/>
        <v>No</v>
      </c>
      <c r="U154" s="17" t="str">
        <f t="shared" si="15"/>
        <v>No</v>
      </c>
      <c r="V154" s="17" t="str">
        <f t="shared" si="16"/>
        <v>Yes</v>
      </c>
      <c r="W154" s="17" t="str">
        <f t="shared" si="17"/>
        <v>Jun-2025</v>
      </c>
    </row>
    <row r="155" spans="1:23" x14ac:dyDescent="0.3">
      <c r="A155" s="17" t="str">
        <f>TRIM(Raw_Data!A155)</f>
        <v>REQ-2025-0154</v>
      </c>
      <c r="B155" s="22">
        <f>IF(Raw_Data!B155="","",IF(ISNUMBER(Raw_Data!B155),Raw_Data!B155,IF(ISNUMBER(SEARCH("/",Raw_Data!B155)),IFERROR(DATE(VALUE(RIGHT(Raw_Data!B155,4)),VALUE(MID(Raw_Data!B155,4,2)),VALUE(LEFT(Raw_Data!B155,2))),"Invalid Date"),IFERROR(DATEVALUE(Raw_Data!B155),"Invalid Date"))))</f>
        <v>46021</v>
      </c>
      <c r="C155" s="17" t="str">
        <f>IF(TRIM(Raw_Data!C155)="","",PROPER(TRIM(Raw_Data!C155)))</f>
        <v>Unit G - Transport Corps</v>
      </c>
      <c r="D155" s="17" t="str">
        <f>IF(TRIM(Raw_Data!D155)="","Not Specified",IFERROR(INDEX(Lookup_Tables!$H$6:$H$12,MATCH(TRIM(Raw_Data!D155),Lookup_Tables!$G$6:$G$12,0)),"Unknown - Review"))</f>
        <v>Southern</v>
      </c>
      <c r="E155" s="17" t="str">
        <f>IF(TRIM(Raw_Data!E155)="","Not Specified",IFERROR(INDEX(Lookup_Tables!$B$6:$B$18,MATCH(TRIM(Raw_Data!E155),Lookup_Tables!$A$6:$A$18,0)),"Unknown - Review"))</f>
        <v>Construction Material</v>
      </c>
      <c r="F155" s="17" t="str">
        <f>IF(TRIM(Raw_Data!F155)="","",TRIM(Raw_Data!F155))</f>
        <v>Barbed Wire Roll</v>
      </c>
      <c r="G155" s="17">
        <f>IF(Raw_Data!G155="","",IF(VALUE(Raw_Data!G155)&lt;=0,"Invalid",VALUE(Raw_Data!G155)))</f>
        <v>448</v>
      </c>
      <c r="H155" s="17" t="str">
        <f>IF(Raw_Data!H155="","",IF(VALUE(Raw_Data!H155)&lt;=0,"Invalid",VALUE(Raw_Data!H155)))</f>
        <v/>
      </c>
      <c r="I155" s="23">
        <f>IFERROR(VALUE(SUBSTITUTE(SUBSTITUTE(Raw_Data!I155,"₹",""),",","")),"")</f>
        <v>4098</v>
      </c>
      <c r="J155" s="17" t="str">
        <f>IF(TRIM(Raw_Data!J155)="","Not Specified",PROPER(TRIM(Raw_Data!J155)))</f>
        <v>Low</v>
      </c>
      <c r="K155" s="17" t="str">
        <f>IF(TRIM(Raw_Data!K155)="","Not Specified",IFERROR(INDEX(Lookup_Tables!$E$6:$E$13,MATCH(TRIM(Raw_Data!K155),Lookup_Tables!$D$6:$D$13,0)),"Unknown - Review"))</f>
        <v>Pending</v>
      </c>
      <c r="L155" s="17" t="str">
        <f>IF(TRIM(Raw_Data!L155)="","",PROPER(TRIM(Raw_Data!L155)))</f>
        <v>Unit Commander</v>
      </c>
      <c r="M155" s="22" t="str">
        <f>IF(Raw_Data!M155="","",IF(ISNUMBER(Raw_Data!M155),Raw_Data!M155,IF(ISNUMBER(SEARCH("/",Raw_Data!M155)),IFERROR(DATE(VALUE(RIGHT(Raw_Data!M155,4)),VALUE(MID(Raw_Data!M155,4,2)),VALUE(LEFT(Raw_Data!M155,2))),"Invalid Date"),IFERROR(DATEVALUE(Raw_Data!M155),"Invalid Date"))))</f>
        <v/>
      </c>
      <c r="N155" s="22" t="str">
        <f>IF(Raw_Data!N155="","",IF(ISNUMBER(Raw_Data!N155),Raw_Data!N155,IF(ISNUMBER(SEARCH("/",Raw_Data!N155)),IFERROR(DATE(VALUE(RIGHT(Raw_Data!N155,4)),VALUE(MID(Raw_Data!N155,4,2)),VALUE(LEFT(Raw_Data!N155,2))),"Invalid Date"),IFERROR(DATEVALUE(Raw_Data!N155),"Invalid Date"))))</f>
        <v/>
      </c>
      <c r="O155" s="22" t="str">
        <f>IF(Raw_Data!O155="","",IF(ISNUMBER(Raw_Data!O155),Raw_Data!O155,IF(ISNUMBER(SEARCH("/",Raw_Data!O155)),IFERROR(DATE(VALUE(RIGHT(Raw_Data!O155,4)),VALUE(MID(Raw_Data!O155,4,2)),VALUE(LEFT(Raw_Data!O155,2))),"Invalid Date"),IFERROR(DATEVALUE(Raw_Data!O155),"Invalid Date"))))</f>
        <v/>
      </c>
      <c r="P155" s="17" t="str">
        <f>IF(OR(TRIM(Raw_Data!P155)="",TRIM(Raw_Data!P155)="N/A",TRIM(Raw_Data!P155)="TBD",TRIM(Raw_Data!P155)="-"),"Not Assigned",PROPER(TRIM(Raw_Data!P155)))</f>
        <v>Central Ordnance Suppliers</v>
      </c>
      <c r="Q155" s="24" t="str">
        <f t="shared" si="12"/>
        <v/>
      </c>
      <c r="R155" s="17" t="str">
        <f t="shared" si="13"/>
        <v/>
      </c>
      <c r="S155" s="17" t="str">
        <f>IF(COUNTIF($A$2:A155,A155)&gt;1,"Duplicate","Unique")</f>
        <v>Unique</v>
      </c>
      <c r="T155" s="17" t="str">
        <f t="shared" si="14"/>
        <v>No</v>
      </c>
      <c r="U155" s="17" t="str">
        <f t="shared" si="15"/>
        <v>No</v>
      </c>
      <c r="V155" s="17" t="str">
        <f t="shared" si="16"/>
        <v>Yes</v>
      </c>
      <c r="W155" s="17" t="str">
        <f t="shared" si="17"/>
        <v>Dec-2025</v>
      </c>
    </row>
    <row r="156" spans="1:23" x14ac:dyDescent="0.3">
      <c r="A156" s="17" t="str">
        <f>TRIM(Raw_Data!A156)</f>
        <v>REQ-2025-0155</v>
      </c>
      <c r="B156" s="22">
        <f>IF(Raw_Data!B156="","",IF(ISNUMBER(Raw_Data!B156),Raw_Data!B156,IF(ISNUMBER(SEARCH("/",Raw_Data!B156)),IFERROR(DATE(VALUE(RIGHT(Raw_Data!B156,4)),VALUE(MID(Raw_Data!B156,4,2)),VALUE(LEFT(Raw_Data!B156,2))),"Invalid Date"),IFERROR(DATEVALUE(Raw_Data!B156),"Invalid Date"))))</f>
        <v>45773</v>
      </c>
      <c r="C156" s="17" t="str">
        <f>IF(TRIM(Raw_Data!C156)="","",PROPER(TRIM(Raw_Data!C156)))</f>
        <v>Unit G - Transport Corps</v>
      </c>
      <c r="D156" s="17" t="str">
        <f>IF(TRIM(Raw_Data!D156)="","Not Specified",IFERROR(INDEX(Lookup_Tables!$H$6:$H$12,MATCH(TRIM(Raw_Data!D156),Lookup_Tables!$G$6:$G$12,0)),"Unknown - Review"))</f>
        <v>Northern</v>
      </c>
      <c r="E156" s="17" t="str">
        <f>IF(TRIM(Raw_Data!E156)="","Not Specified",IFERROR(INDEX(Lookup_Tables!$B$6:$B$18,MATCH(TRIM(Raw_Data!E156),Lookup_Tables!$A$6:$A$18,0)),"Unknown - Review"))</f>
        <v>Tents &amp; Shelter</v>
      </c>
      <c r="F156" s="17" t="str">
        <f>IF(TRIM(Raw_Data!F156)="","",TRIM(Raw_Data!F156))</f>
        <v>Camouflage Net</v>
      </c>
      <c r="G156" s="17">
        <f>IF(Raw_Data!G156="","",IF(VALUE(Raw_Data!G156)&lt;=0,"Invalid",VALUE(Raw_Data!G156)))</f>
        <v>49</v>
      </c>
      <c r="H156" s="17">
        <f>IF(Raw_Data!H156="","",IF(VALUE(Raw_Data!H156)&lt;=0,"Invalid",VALUE(Raw_Data!H156)))</f>
        <v>44</v>
      </c>
      <c r="I156" s="23">
        <f>IFERROR(VALUE(SUBSTITUTE(SUBSTITUTE(Raw_Data!I156,"₹",""),",","")),"")</f>
        <v>39290.660000000003</v>
      </c>
      <c r="J156" s="17" t="str">
        <f>IF(TRIM(Raw_Data!J156)="","Not Specified",PROPER(TRIM(Raw_Data!J156)))</f>
        <v>Routine</v>
      </c>
      <c r="K156" s="17" t="str">
        <f>IF(TRIM(Raw_Data!K156)="","Not Specified",IFERROR(INDEX(Lookup_Tables!$E$6:$E$13,MATCH(TRIM(Raw_Data!K156),Lookup_Tables!$D$6:$D$13,0)),"Unknown - Review"))</f>
        <v>Approved</v>
      </c>
      <c r="L156" s="17" t="str">
        <f>IF(TRIM(Raw_Data!L156)="","",PROPER(TRIM(Raw_Data!L156)))</f>
        <v>Logistics Officer</v>
      </c>
      <c r="M156" s="22">
        <f>IF(Raw_Data!M156="","",IF(ISNUMBER(Raw_Data!M156),Raw_Data!M156,IF(ISNUMBER(SEARCH("/",Raw_Data!M156)),IFERROR(DATE(VALUE(RIGHT(Raw_Data!M156,4)),VALUE(MID(Raw_Data!M156,4,2)),VALUE(LEFT(Raw_Data!M156,2))),"Invalid Date"),IFERROR(DATEVALUE(Raw_Data!M156),"Invalid Date"))))</f>
        <v>45777</v>
      </c>
      <c r="N156" s="22">
        <f>IF(Raw_Data!N156="","",IF(ISNUMBER(Raw_Data!N156),Raw_Data!N156,IF(ISNUMBER(SEARCH("/",Raw_Data!N156)),IFERROR(DATE(VALUE(RIGHT(Raw_Data!N156,4)),VALUE(MID(Raw_Data!N156,4,2)),VALUE(LEFT(Raw_Data!N156,2))),"Invalid Date"),IFERROR(DATEVALUE(Raw_Data!N156),"Invalid Date"))))</f>
        <v>45795</v>
      </c>
      <c r="O156" s="22" t="str">
        <f>IF(Raw_Data!O156="","",IF(ISNUMBER(Raw_Data!O156),Raw_Data!O156,IF(ISNUMBER(SEARCH("/",Raw_Data!O156)),IFERROR(DATE(VALUE(RIGHT(Raw_Data!O156,4)),VALUE(MID(Raw_Data!O156,4,2)),VALUE(LEFT(Raw_Data!O156,2))),"Invalid Date"),IFERROR(DATEVALUE(Raw_Data!O156),"Invalid Date"))))</f>
        <v/>
      </c>
      <c r="P156" s="17" t="str">
        <f>IF(OR(TRIM(Raw_Data!P156)="",TRIM(Raw_Data!P156)="N/A",TRIM(Raw_Data!P156)="TBD",TRIM(Raw_Data!P156)="-"),"Not Assigned",PROPER(TRIM(Raw_Data!P156)))</f>
        <v>Vikram Enterprises</v>
      </c>
      <c r="Q156" s="24">
        <f t="shared" si="12"/>
        <v>1728789.04</v>
      </c>
      <c r="R156" s="17" t="str">
        <f t="shared" si="13"/>
        <v/>
      </c>
      <c r="S156" s="17" t="str">
        <f>IF(COUNTIF($A$2:A156,A156)&gt;1,"Duplicate","Unique")</f>
        <v>Unique</v>
      </c>
      <c r="T156" s="17" t="str">
        <f t="shared" si="14"/>
        <v>No</v>
      </c>
      <c r="U156" s="17" t="str">
        <f t="shared" si="15"/>
        <v>No</v>
      </c>
      <c r="V156" s="17" t="str">
        <f t="shared" si="16"/>
        <v>Yes</v>
      </c>
      <c r="W156" s="17" t="str">
        <f t="shared" si="17"/>
        <v>Apr-2025</v>
      </c>
    </row>
    <row r="157" spans="1:23" x14ac:dyDescent="0.3">
      <c r="A157" s="17" t="str">
        <f>TRIM(Raw_Data!A157)</f>
        <v>REQ-2025-0156</v>
      </c>
      <c r="B157" s="22" t="str">
        <f>IF(Raw_Data!B157="","",IF(ISNUMBER(Raw_Data!B157),Raw_Data!B157,IF(ISNUMBER(SEARCH("/",Raw_Data!B157)),IFERROR(DATE(VALUE(RIGHT(Raw_Data!B157,4)),VALUE(MID(Raw_Data!B157,4,2)),VALUE(LEFT(Raw_Data!B157,2))),"Invalid Date"),IFERROR(DATEVALUE(Raw_Data!B157),"Invalid Date"))))</f>
        <v/>
      </c>
      <c r="C157" s="17" t="str">
        <f>IF(TRIM(Raw_Data!C157)="","",PROPER(TRIM(Raw_Data!C157)))</f>
        <v>Unit C - Engineers</v>
      </c>
      <c r="D157" s="17" t="str">
        <f>IF(TRIM(Raw_Data!D157)="","Not Specified",IFERROR(INDEX(Lookup_Tables!$H$6:$H$12,MATCH(TRIM(Raw_Data!D157),Lookup_Tables!$G$6:$G$12,0)),"Unknown - Review"))</f>
        <v>Eastern</v>
      </c>
      <c r="E157" s="17" t="str">
        <f>IF(TRIM(Raw_Data!E157)="","Not Specified",IFERROR(INDEX(Lookup_Tables!$B$6:$B$18,MATCH(TRIM(Raw_Data!E157),Lookup_Tables!$A$6:$A$18,0)),"Unknown - Review"))</f>
        <v>Tents &amp; Shelter</v>
      </c>
      <c r="F157" s="17" t="str">
        <f>IF(TRIM(Raw_Data!F157)="","",TRIM(Raw_Data!F157))</f>
        <v>Ground Sheet</v>
      </c>
      <c r="G157" s="17">
        <f>IF(Raw_Data!G157="","",IF(VALUE(Raw_Data!G157)&lt;=0,"Invalid",VALUE(Raw_Data!G157)))</f>
        <v>396</v>
      </c>
      <c r="H157" s="17">
        <f>IF(Raw_Data!H157="","",IF(VALUE(Raw_Data!H157)&lt;=0,"Invalid",VALUE(Raw_Data!H157)))</f>
        <v>391</v>
      </c>
      <c r="I157" s="23">
        <f>IFERROR(VALUE(SUBSTITUTE(SUBSTITUTE(Raw_Data!I157,"₹",""),",","")),"")</f>
        <v>13755</v>
      </c>
      <c r="J157" s="17" t="str">
        <f>IF(TRIM(Raw_Data!J157)="","Not Specified",PROPER(TRIM(Raw_Data!J157)))</f>
        <v>Medium</v>
      </c>
      <c r="K157" s="17" t="str">
        <f>IF(TRIM(Raw_Data!K157)="","Not Specified",IFERROR(INDEX(Lookup_Tables!$E$6:$E$13,MATCH(TRIM(Raw_Data!K157),Lookup_Tables!$D$6:$D$13,0)),"Unknown - Review"))</f>
        <v>Approved</v>
      </c>
      <c r="L157" s="17" t="str">
        <f>IF(TRIM(Raw_Data!L157)="","",PROPER(TRIM(Raw_Data!L157)))</f>
        <v>Quartermaster</v>
      </c>
      <c r="M157" s="22">
        <f>IF(Raw_Data!M157="","",IF(ISNUMBER(Raw_Data!M157),Raw_Data!M157,IF(ISNUMBER(SEARCH("/",Raw_Data!M157)),IFERROR(DATE(VALUE(RIGHT(Raw_Data!M157,4)),VALUE(MID(Raw_Data!M157,4,2)),VALUE(LEFT(Raw_Data!M157,2))),"Invalid Date"),IFERROR(DATEVALUE(Raw_Data!M157),"Invalid Date"))))</f>
        <v>45723</v>
      </c>
      <c r="N157" s="22">
        <f>IF(Raw_Data!N157="","",IF(ISNUMBER(Raw_Data!N157),Raw_Data!N157,IF(ISNUMBER(SEARCH("/",Raw_Data!N157)),IFERROR(DATE(VALUE(RIGHT(Raw_Data!N157,4)),VALUE(MID(Raw_Data!N157,4,2)),VALUE(LEFT(Raw_Data!N157,2))),"Invalid Date"),IFERROR(DATEVALUE(Raw_Data!N157),"Invalid Date"))))</f>
        <v>45732</v>
      </c>
      <c r="O157" s="22" t="str">
        <f>IF(Raw_Data!O157="","",IF(ISNUMBER(Raw_Data!O157),Raw_Data!O157,IF(ISNUMBER(SEARCH("/",Raw_Data!O157)),IFERROR(DATE(VALUE(RIGHT(Raw_Data!O157,4)),VALUE(MID(Raw_Data!O157,4,2)),VALUE(LEFT(Raw_Data!O157,2))),"Invalid Date"),IFERROR(DATEVALUE(Raw_Data!O157),"Invalid Date"))))</f>
        <v/>
      </c>
      <c r="P157" s="17" t="str">
        <f>IF(OR(TRIM(Raw_Data!P157)="",TRIM(Raw_Data!P157)="N/A",TRIM(Raw_Data!P157)="TBD",TRIM(Raw_Data!P157)="-"),"Not Assigned",PROPER(TRIM(Raw_Data!P157)))</f>
        <v>Vikram Enterprises</v>
      </c>
      <c r="Q157" s="24">
        <f t="shared" si="12"/>
        <v>5378205</v>
      </c>
      <c r="R157" s="17" t="str">
        <f t="shared" si="13"/>
        <v/>
      </c>
      <c r="S157" s="17" t="str">
        <f>IF(COUNTIF($A$2:A157,A157)&gt;1,"Duplicate","Unique")</f>
        <v>Unique</v>
      </c>
      <c r="T157" s="17" t="str">
        <f t="shared" si="14"/>
        <v>No</v>
      </c>
      <c r="U157" s="17" t="str">
        <f t="shared" si="15"/>
        <v>No</v>
      </c>
      <c r="V157" s="17" t="str">
        <f t="shared" si="16"/>
        <v>Yes</v>
      </c>
      <c r="W157" s="17" t="str">
        <f t="shared" si="17"/>
        <v/>
      </c>
    </row>
    <row r="158" spans="1:23" x14ac:dyDescent="0.3">
      <c r="A158" s="17" t="str">
        <f>TRIM(Raw_Data!A158)</f>
        <v>REQ-2025-0157</v>
      </c>
      <c r="B158" s="22">
        <f>IF(Raw_Data!B158="","",IF(ISNUMBER(Raw_Data!B158),Raw_Data!B158,IF(ISNUMBER(SEARCH("/",Raw_Data!B158)),IFERROR(DATE(VALUE(RIGHT(Raw_Data!B158,4)),VALUE(MID(Raw_Data!B158,4,2)),VALUE(LEFT(Raw_Data!B158,2))),"Invalid Date"),IFERROR(DATEVALUE(Raw_Data!B158),"Invalid Date"))))</f>
        <v>45773</v>
      </c>
      <c r="C158" s="17" t="str">
        <f>IF(TRIM(Raw_Data!C158)="","",PROPER(TRIM(Raw_Data!C158)))</f>
        <v>Unit H - Air Defence</v>
      </c>
      <c r="D158" s="17" t="str">
        <f>IF(TRIM(Raw_Data!D158)="","Not Specified",IFERROR(INDEX(Lookup_Tables!$H$6:$H$12,MATCH(TRIM(Raw_Data!D158),Lookup_Tables!$G$6:$G$12,0)),"Unknown - Review"))</f>
        <v>Eastern</v>
      </c>
      <c r="E158" s="17" t="str">
        <f>IF(TRIM(Raw_Data!E158)="","Not Specified",IFERROR(INDEX(Lookup_Tables!$B$6:$B$18,MATCH(TRIM(Raw_Data!E158),Lookup_Tables!$A$6:$A$18,0)),"Unknown - Review"))</f>
        <v>Uniforms &amp; Clothing</v>
      </c>
      <c r="F158" s="17" t="str">
        <f>IF(TRIM(Raw_Data!F158)="","",TRIM(Raw_Data!F158))</f>
        <v>Winter Jacket</v>
      </c>
      <c r="G158" s="17">
        <f>IF(Raw_Data!G158="","",IF(VALUE(Raw_Data!G158)&lt;=0,"Invalid",VALUE(Raw_Data!G158)))</f>
        <v>491</v>
      </c>
      <c r="H158" s="17" t="str">
        <f>IF(Raw_Data!H158="","",IF(VALUE(Raw_Data!H158)&lt;=0,"Invalid",VALUE(Raw_Data!H158)))</f>
        <v/>
      </c>
      <c r="I158" s="23">
        <f>IFERROR(VALUE(SUBSTITUTE(SUBSTITUTE(Raw_Data!I158,"₹",""),",","")),"")</f>
        <v>33445</v>
      </c>
      <c r="J158" s="17" t="str">
        <f>IF(TRIM(Raw_Data!J158)="","Not Specified",PROPER(TRIM(Raw_Data!J158)))</f>
        <v>High</v>
      </c>
      <c r="K158" s="17" t="str">
        <f>IF(TRIM(Raw_Data!K158)="","Not Specified",IFERROR(INDEX(Lookup_Tables!$E$6:$E$13,MATCH(TRIM(Raw_Data!K158),Lookup_Tables!$D$6:$D$13,0)),"Unknown - Review"))</f>
        <v>Pending</v>
      </c>
      <c r="L158" s="17" t="str">
        <f>IF(TRIM(Raw_Data!L158)="","",PROPER(TRIM(Raw_Data!L158)))</f>
        <v>Stores Officer</v>
      </c>
      <c r="M158" s="22" t="str">
        <f>IF(Raw_Data!M158="","",IF(ISNUMBER(Raw_Data!M158),Raw_Data!M158,IF(ISNUMBER(SEARCH("/",Raw_Data!M158)),IFERROR(DATE(VALUE(RIGHT(Raw_Data!M158,4)),VALUE(MID(Raw_Data!M158,4,2)),VALUE(LEFT(Raw_Data!M158,2))),"Invalid Date"),IFERROR(DATEVALUE(Raw_Data!M158),"Invalid Date"))))</f>
        <v/>
      </c>
      <c r="N158" s="22" t="str">
        <f>IF(Raw_Data!N158="","",IF(ISNUMBER(Raw_Data!N158),Raw_Data!N158,IF(ISNUMBER(SEARCH("/",Raw_Data!N158)),IFERROR(DATE(VALUE(RIGHT(Raw_Data!N158,4)),VALUE(MID(Raw_Data!N158,4,2)),VALUE(LEFT(Raw_Data!N158,2))),"Invalid Date"),IFERROR(DATEVALUE(Raw_Data!N158),"Invalid Date"))))</f>
        <v/>
      </c>
      <c r="O158" s="22" t="str">
        <f>IF(Raw_Data!O158="","",IF(ISNUMBER(Raw_Data!O158),Raw_Data!O158,IF(ISNUMBER(SEARCH("/",Raw_Data!O158)),IFERROR(DATE(VALUE(RIGHT(Raw_Data!O158,4)),VALUE(MID(Raw_Data!O158,4,2)),VALUE(LEFT(Raw_Data!O158,2))),"Invalid Date"),IFERROR(DATEVALUE(Raw_Data!O158),"Invalid Date"))))</f>
        <v/>
      </c>
      <c r="P158" s="17" t="str">
        <f>IF(OR(TRIM(Raw_Data!P158)="",TRIM(Raw_Data!P158)="N/A",TRIM(Raw_Data!P158)="TBD",TRIM(Raw_Data!P158)="-"),"Not Assigned",PROPER(TRIM(Raw_Data!P158)))</f>
        <v>Not Assigned</v>
      </c>
      <c r="Q158" s="24" t="str">
        <f t="shared" si="12"/>
        <v/>
      </c>
      <c r="R158" s="17" t="str">
        <f t="shared" si="13"/>
        <v/>
      </c>
      <c r="S158" s="17" t="str">
        <f>IF(COUNTIF($A$2:A158,A158)&gt;1,"Duplicate","Unique")</f>
        <v>Unique</v>
      </c>
      <c r="T158" s="17" t="str">
        <f t="shared" si="14"/>
        <v>No</v>
      </c>
      <c r="U158" s="17" t="str">
        <f t="shared" si="15"/>
        <v>No</v>
      </c>
      <c r="V158" s="17" t="str">
        <f t="shared" si="16"/>
        <v>Yes</v>
      </c>
      <c r="W158" s="17" t="str">
        <f t="shared" si="17"/>
        <v>Apr-2025</v>
      </c>
    </row>
    <row r="159" spans="1:23" x14ac:dyDescent="0.3">
      <c r="A159" s="17" t="str">
        <f>TRIM(Raw_Data!A159)</f>
        <v>REQ-2025-0158</v>
      </c>
      <c r="B159" s="22">
        <f>IF(Raw_Data!B159="","",IF(ISNUMBER(Raw_Data!B159),Raw_Data!B159,IF(ISNUMBER(SEARCH("/",Raw_Data!B159)),IFERROR(DATE(VALUE(RIGHT(Raw_Data!B159,4)),VALUE(MID(Raw_Data!B159,4,2)),VALUE(LEFT(Raw_Data!B159,2))),"Invalid Date"),IFERROR(DATEVALUE(Raw_Data!B159),"Invalid Date"))))</f>
        <v>45679</v>
      </c>
      <c r="C159" s="17" t="str">
        <f>IF(TRIM(Raw_Data!C159)="","",PROPER(TRIM(Raw_Data!C159)))</f>
        <v>Unit A - Infantry</v>
      </c>
      <c r="D159" s="17" t="str">
        <f>IF(TRIM(Raw_Data!D159)="","Not Specified",IFERROR(INDEX(Lookup_Tables!$H$6:$H$12,MATCH(TRIM(Raw_Data!D159),Lookup_Tables!$G$6:$G$12,0)),"Unknown - Review"))</f>
        <v>Northern</v>
      </c>
      <c r="E159" s="17" t="str">
        <f>IF(TRIM(Raw_Data!E159)="","Not Specified",IFERROR(INDEX(Lookup_Tables!$B$6:$B$18,MATCH(TRIM(Raw_Data!E159),Lookup_Tables!$A$6:$A$18,0)),"Unknown - Review"))</f>
        <v>Office &amp; IT Equipment</v>
      </c>
      <c r="F159" s="17" t="str">
        <f>IF(TRIM(Raw_Data!F159)="","",TRIM(Raw_Data!F159))</f>
        <v>Filing Cabinet</v>
      </c>
      <c r="G159" s="17" t="str">
        <f>IF(Raw_Data!G159="","",IF(VALUE(Raw_Data!G159)&lt;=0,"Invalid",VALUE(Raw_Data!G159)))</f>
        <v>Invalid</v>
      </c>
      <c r="H159" s="17">
        <f>IF(Raw_Data!H159="","",IF(VALUE(Raw_Data!H159)&lt;=0,"Invalid",VALUE(Raw_Data!H159)))</f>
        <v>354</v>
      </c>
      <c r="I159" s="23">
        <f>IFERROR(VALUE(SUBSTITUTE(SUBSTITUTE(Raw_Data!I159,"₹",""),",","")),"")</f>
        <v>43322.27</v>
      </c>
      <c r="J159" s="17" t="str">
        <f>IF(TRIM(Raw_Data!J159)="","Not Specified",PROPER(TRIM(Raw_Data!J159)))</f>
        <v>Medium</v>
      </c>
      <c r="K159" s="17" t="str">
        <f>IF(TRIM(Raw_Data!K159)="","Not Specified",IFERROR(INDEX(Lookup_Tables!$E$6:$E$13,MATCH(TRIM(Raw_Data!K159),Lookup_Tables!$D$6:$D$13,0)),"Unknown - Review"))</f>
        <v>Delivered</v>
      </c>
      <c r="L159" s="17" t="str">
        <f>IF(TRIM(Raw_Data!L159)="","",PROPER(TRIM(Raw_Data!L159)))</f>
        <v>Unit Commander</v>
      </c>
      <c r="M159" s="22">
        <f>IF(Raw_Data!M159="","",IF(ISNUMBER(Raw_Data!M159),Raw_Data!M159,IF(ISNUMBER(SEARCH("/",Raw_Data!M159)),IFERROR(DATE(VALUE(RIGHT(Raw_Data!M159,4)),VALUE(MID(Raw_Data!M159,4,2)),VALUE(LEFT(Raw_Data!M159,2))),"Invalid Date"),IFERROR(DATEVALUE(Raw_Data!M159),"Invalid Date"))))</f>
        <v>45683</v>
      </c>
      <c r="N159" s="22">
        <f>IF(Raw_Data!N159="","",IF(ISNUMBER(Raw_Data!N159),Raw_Data!N159,IF(ISNUMBER(SEARCH("/",Raw_Data!N159)),IFERROR(DATE(VALUE(RIGHT(Raw_Data!N159,4)),VALUE(MID(Raw_Data!N159,4,2)),VALUE(LEFT(Raw_Data!N159,2))),"Invalid Date"),IFERROR(DATEVALUE(Raw_Data!N159),"Invalid Date"))))</f>
        <v>45697</v>
      </c>
      <c r="O159" s="22">
        <f>IF(Raw_Data!O159="","",IF(ISNUMBER(Raw_Data!O159),Raw_Data!O159,IF(ISNUMBER(SEARCH("/",Raw_Data!O159)),IFERROR(DATE(VALUE(RIGHT(Raw_Data!O159,4)),VALUE(MID(Raw_Data!O159,4,2)),VALUE(LEFT(Raw_Data!O159,2))),"Invalid Date"),IFERROR(DATEVALUE(Raw_Data!O159),"Invalid Date"))))</f>
        <v>45706</v>
      </c>
      <c r="P159" s="17" t="str">
        <f>IF(OR(TRIM(Raw_Data!P159)="",TRIM(Raw_Data!P159)="N/A",TRIM(Raw_Data!P159)="TBD",TRIM(Raw_Data!P159)="-"),"Not Assigned",PROPER(TRIM(Raw_Data!P159)))</f>
        <v>Rapid Vendors Ltd</v>
      </c>
      <c r="Q159" s="24">
        <f t="shared" si="12"/>
        <v>15336083.579999998</v>
      </c>
      <c r="R159" s="17">
        <f t="shared" si="13"/>
        <v>9</v>
      </c>
      <c r="S159" s="17" t="str">
        <f>IF(COUNTIF($A$2:A159,A159)&gt;1,"Duplicate","Unique")</f>
        <v>Unique</v>
      </c>
      <c r="T159" s="17" t="str">
        <f t="shared" si="14"/>
        <v>No</v>
      </c>
      <c r="U159" s="17" t="str">
        <f t="shared" si="15"/>
        <v>No</v>
      </c>
      <c r="V159" s="17" t="str">
        <f t="shared" si="16"/>
        <v>No</v>
      </c>
      <c r="W159" s="17" t="str">
        <f t="shared" si="17"/>
        <v>Jan-2025</v>
      </c>
    </row>
    <row r="160" spans="1:23" x14ac:dyDescent="0.3">
      <c r="A160" s="17" t="str">
        <f>TRIM(Raw_Data!A160)</f>
        <v>REQ-2025-0159</v>
      </c>
      <c r="B160" s="22">
        <f>IF(Raw_Data!B160="","",IF(ISNUMBER(Raw_Data!B160),Raw_Data!B160,IF(ISNUMBER(SEARCH("/",Raw_Data!B160)),IFERROR(DATE(VALUE(RIGHT(Raw_Data!B160,4)),VALUE(MID(Raw_Data!B160,4,2)),VALUE(LEFT(Raw_Data!B160,2))),"Invalid Date"),IFERROR(DATEVALUE(Raw_Data!B160),"Invalid Date"))))</f>
        <v>45704</v>
      </c>
      <c r="C160" s="17" t="str">
        <f>IF(TRIM(Raw_Data!C160)="","",PROPER(TRIM(Raw_Data!C160)))</f>
        <v>Unit A - Infantry</v>
      </c>
      <c r="D160" s="17" t="str">
        <f>IF(TRIM(Raw_Data!D160)="","Not Specified",IFERROR(INDEX(Lookup_Tables!$H$6:$H$12,MATCH(TRIM(Raw_Data!D160),Lookup_Tables!$G$6:$G$12,0)),"Unknown - Review"))</f>
        <v>Northern</v>
      </c>
      <c r="E160" s="17" t="str">
        <f>IF(TRIM(Raw_Data!E160)="","Not Specified",IFERROR(INDEX(Lookup_Tables!$B$6:$B$18,MATCH(TRIM(Raw_Data!E160),Lookup_Tables!$A$6:$A$18,0)),"Unknown - Review"))</f>
        <v>Medical Supplies</v>
      </c>
      <c r="F160" s="17" t="str">
        <f>IF(TRIM(Raw_Data!F160)="","",TRIM(Raw_Data!F160))</f>
        <v>Antiseptic Solution (5L)</v>
      </c>
      <c r="G160" s="17">
        <f>IF(Raw_Data!G160="","",IF(VALUE(Raw_Data!G160)&lt;=0,"Invalid",VALUE(Raw_Data!G160)))</f>
        <v>51</v>
      </c>
      <c r="H160" s="17">
        <f>IF(Raw_Data!H160="","",IF(VALUE(Raw_Data!H160)&lt;=0,"Invalid",VALUE(Raw_Data!H160)))</f>
        <v>41</v>
      </c>
      <c r="I160" s="23">
        <f>IFERROR(VALUE(SUBSTITUTE(SUBSTITUTE(Raw_Data!I160,"₹",""),",","")),"")</f>
        <v>23643</v>
      </c>
      <c r="J160" s="17" t="str">
        <f>IF(TRIM(Raw_Data!J160)="","Not Specified",PROPER(TRIM(Raw_Data!J160)))</f>
        <v>Medium</v>
      </c>
      <c r="K160" s="17" t="str">
        <f>IF(TRIM(Raw_Data!K160)="","Not Specified",IFERROR(INDEX(Lookup_Tables!$E$6:$E$13,MATCH(TRIM(Raw_Data!K160),Lookup_Tables!$D$6:$D$13,0)),"Unknown - Review"))</f>
        <v>Approved</v>
      </c>
      <c r="L160" s="17" t="str">
        <f>IF(TRIM(Raw_Data!L160)="","",PROPER(TRIM(Raw_Data!L160)))</f>
        <v>Quartermaster</v>
      </c>
      <c r="M160" s="22">
        <f>IF(Raw_Data!M160="","",IF(ISNUMBER(Raw_Data!M160),Raw_Data!M160,IF(ISNUMBER(SEARCH("/",Raw_Data!M160)),IFERROR(DATE(VALUE(RIGHT(Raw_Data!M160,4)),VALUE(MID(Raw_Data!M160,4,2)),VALUE(LEFT(Raw_Data!M160,2))),"Invalid Date"),IFERROR(DATEVALUE(Raw_Data!M160),"Invalid Date"))))</f>
        <v>45711</v>
      </c>
      <c r="N160" s="22">
        <f>IF(Raw_Data!N160="","",IF(ISNUMBER(Raw_Data!N160),Raw_Data!N160,IF(ISNUMBER(SEARCH("/",Raw_Data!N160)),IFERROR(DATE(VALUE(RIGHT(Raw_Data!N160,4)),VALUE(MID(Raw_Data!N160,4,2)),VALUE(LEFT(Raw_Data!N160,2))),"Invalid Date"),IFERROR(DATEVALUE(Raw_Data!N160),"Invalid Date"))))</f>
        <v>45739</v>
      </c>
      <c r="O160" s="22" t="str">
        <f>IF(Raw_Data!O160="","",IF(ISNUMBER(Raw_Data!O160),Raw_Data!O160,IF(ISNUMBER(SEARCH("/",Raw_Data!O160)),IFERROR(DATE(VALUE(RIGHT(Raw_Data!O160,4)),VALUE(MID(Raw_Data!O160,4,2)),VALUE(LEFT(Raw_Data!O160,2))),"Invalid Date"),IFERROR(DATEVALUE(Raw_Data!O160),"Invalid Date"))))</f>
        <v/>
      </c>
      <c r="P160" s="17" t="str">
        <f>IF(OR(TRIM(Raw_Data!P160)="",TRIM(Raw_Data!P160)="N/A",TRIM(Raw_Data!P160)="TBD",TRIM(Raw_Data!P160)="-"),"Not Assigned",PROPER(TRIM(Raw_Data!P160)))</f>
        <v>Not Assigned</v>
      </c>
      <c r="Q160" s="24">
        <f t="shared" si="12"/>
        <v>969363</v>
      </c>
      <c r="R160" s="17" t="str">
        <f t="shared" si="13"/>
        <v/>
      </c>
      <c r="S160" s="17" t="str">
        <f>IF(COUNTIF($A$2:A160,A160)&gt;1,"Duplicate","Unique")</f>
        <v>Unique</v>
      </c>
      <c r="T160" s="17" t="str">
        <f t="shared" si="14"/>
        <v>No</v>
      </c>
      <c r="U160" s="17" t="str">
        <f t="shared" si="15"/>
        <v>No</v>
      </c>
      <c r="V160" s="17" t="str">
        <f t="shared" si="16"/>
        <v>Yes</v>
      </c>
      <c r="W160" s="17" t="str">
        <f t="shared" si="17"/>
        <v>Feb-2025</v>
      </c>
    </row>
    <row r="161" spans="1:23" x14ac:dyDescent="0.3">
      <c r="A161" s="17" t="str">
        <f>TRIM(Raw_Data!A161)</f>
        <v>REQ-2025-0160</v>
      </c>
      <c r="B161" s="22">
        <f>IF(Raw_Data!B161="","",IF(ISNUMBER(Raw_Data!B161),Raw_Data!B161,IF(ISNUMBER(SEARCH("/",Raw_Data!B161)),IFERROR(DATE(VALUE(RIGHT(Raw_Data!B161,4)),VALUE(MID(Raw_Data!B161,4,2)),VALUE(LEFT(Raw_Data!B161,2))),"Invalid Date"),IFERROR(DATEVALUE(Raw_Data!B161),"Invalid Date"))))</f>
        <v>45892</v>
      </c>
      <c r="C161" s="17" t="str">
        <f>IF(TRIM(Raw_Data!C161)="","",PROPER(TRIM(Raw_Data!C161)))</f>
        <v>Unit D - Signals</v>
      </c>
      <c r="D161" s="17" t="str">
        <f>IF(TRIM(Raw_Data!D161)="","Not Specified",IFERROR(INDEX(Lookup_Tables!$H$6:$H$12,MATCH(TRIM(Raw_Data!D161),Lookup_Tables!$G$6:$G$12,0)),"Unknown - Review"))</f>
        <v>Western</v>
      </c>
      <c r="E161" s="17" t="str">
        <f>IF(TRIM(Raw_Data!E161)="","Not Specified",IFERROR(INDEX(Lookup_Tables!$B$6:$B$18,MATCH(TRIM(Raw_Data!E161),Lookup_Tables!$A$6:$A$18,0)),"Unknown - Review"))</f>
        <v>Communication Equipment</v>
      </c>
      <c r="F161" s="17" t="str">
        <f>IF(TRIM(Raw_Data!F161)="","",TRIM(Raw_Data!F161))</f>
        <v>Field Radio Set</v>
      </c>
      <c r="G161" s="17">
        <f>IF(Raw_Data!G161="","",IF(VALUE(Raw_Data!G161)&lt;=0,"Invalid",VALUE(Raw_Data!G161)))</f>
        <v>316</v>
      </c>
      <c r="H161" s="17">
        <f>IF(Raw_Data!H161="","",IF(VALUE(Raw_Data!H161)&lt;=0,"Invalid",VALUE(Raw_Data!H161)))</f>
        <v>277</v>
      </c>
      <c r="I161" s="23">
        <f>IFERROR(VALUE(SUBSTITUTE(SUBSTITUTE(Raw_Data!I161,"₹",""),",","")),"")</f>
        <v>21486</v>
      </c>
      <c r="J161" s="17" t="str">
        <f>IF(TRIM(Raw_Data!J161)="","Not Specified",PROPER(TRIM(Raw_Data!J161)))</f>
        <v>Routine</v>
      </c>
      <c r="K161" s="17" t="str">
        <f>IF(TRIM(Raw_Data!K161)="","Not Specified",IFERROR(INDEX(Lookup_Tables!$E$6:$E$13,MATCH(TRIM(Raw_Data!K161),Lookup_Tables!$D$6:$D$13,0)),"Unknown - Review"))</f>
        <v>Dispatched</v>
      </c>
      <c r="L161" s="17" t="str">
        <f>IF(TRIM(Raw_Data!L161)="","",PROPER(TRIM(Raw_Data!L161)))</f>
        <v>Quartermaster</v>
      </c>
      <c r="M161" s="22">
        <f>IF(Raw_Data!M161="","",IF(ISNUMBER(Raw_Data!M161),Raw_Data!M161,IF(ISNUMBER(SEARCH("/",Raw_Data!M161)),IFERROR(DATE(VALUE(RIGHT(Raw_Data!M161,4)),VALUE(MID(Raw_Data!M161,4,2)),VALUE(LEFT(Raw_Data!M161,2))),"Invalid Date"),IFERROR(DATEVALUE(Raw_Data!M161),"Invalid Date"))))</f>
        <v>45899</v>
      </c>
      <c r="N161" s="22">
        <f>IF(Raw_Data!N161="","",IF(ISNUMBER(Raw_Data!N161),Raw_Data!N161,IF(ISNUMBER(SEARCH("/",Raw_Data!N161)),IFERROR(DATE(VALUE(RIGHT(Raw_Data!N161,4)),VALUE(MID(Raw_Data!N161,4,2)),VALUE(LEFT(Raw_Data!N161,2))),"Invalid Date"),IFERROR(DATEVALUE(Raw_Data!N161),"Invalid Date"))))</f>
        <v>45918</v>
      </c>
      <c r="O161" s="22" t="str">
        <f>IF(Raw_Data!O161="","",IF(ISNUMBER(Raw_Data!O161),Raw_Data!O161,IF(ISNUMBER(SEARCH("/",Raw_Data!O161)),IFERROR(DATE(VALUE(RIGHT(Raw_Data!O161,4)),VALUE(MID(Raw_Data!O161,4,2)),VALUE(LEFT(Raw_Data!O161,2))),"Invalid Date"),IFERROR(DATEVALUE(Raw_Data!O161),"Invalid Date"))))</f>
        <v/>
      </c>
      <c r="P161" s="17" t="str">
        <f>IF(OR(TRIM(Raw_Data!P161)="",TRIM(Raw_Data!P161)="N/A",TRIM(Raw_Data!P161)="TBD",TRIM(Raw_Data!P161)="-"),"Not Assigned",PROPER(TRIM(Raw_Data!P161)))</f>
        <v>Sena Supply Co</v>
      </c>
      <c r="Q161" s="24">
        <f t="shared" si="12"/>
        <v>5951622</v>
      </c>
      <c r="R161" s="17" t="str">
        <f t="shared" si="13"/>
        <v/>
      </c>
      <c r="S161" s="17" t="str">
        <f>IF(COUNTIF($A$2:A161,A161)&gt;1,"Duplicate","Unique")</f>
        <v>Unique</v>
      </c>
      <c r="T161" s="17" t="str">
        <f t="shared" si="14"/>
        <v>No</v>
      </c>
      <c r="U161" s="17" t="str">
        <f t="shared" si="15"/>
        <v>No</v>
      </c>
      <c r="V161" s="17" t="str">
        <f t="shared" si="16"/>
        <v>Yes</v>
      </c>
      <c r="W161" s="17" t="str">
        <f t="shared" si="17"/>
        <v>Aug-2025</v>
      </c>
    </row>
    <row r="162" spans="1:23" x14ac:dyDescent="0.3">
      <c r="A162" s="17" t="str">
        <f>TRIM(Raw_Data!A162)</f>
        <v>REQ-2025-0161</v>
      </c>
      <c r="B162" s="22">
        <f>IF(Raw_Data!B162="","",IF(ISNUMBER(Raw_Data!B162),Raw_Data!B162,IF(ISNUMBER(SEARCH("/",Raw_Data!B162)),IFERROR(DATE(VALUE(RIGHT(Raw_Data!B162,4)),VALUE(MID(Raw_Data!B162,4,2)),VALUE(LEFT(Raw_Data!B162,2))),"Invalid Date"),IFERROR(DATEVALUE(Raw_Data!B162),"Invalid Date"))))</f>
        <v>45996</v>
      </c>
      <c r="C162" s="17" t="str">
        <f>IF(TRIM(Raw_Data!C162)="","",PROPER(TRIM(Raw_Data!C162)))</f>
        <v>Unit G - Transport Corps</v>
      </c>
      <c r="D162" s="17" t="str">
        <f>IF(TRIM(Raw_Data!D162)="","Not Specified",IFERROR(INDEX(Lookup_Tables!$H$6:$H$12,MATCH(TRIM(Raw_Data!D162),Lookup_Tables!$G$6:$G$12,0)),"Unknown - Review"))</f>
        <v>Southern</v>
      </c>
      <c r="E162" s="17" t="str">
        <f>IF(TRIM(Raw_Data!E162)="","Not Specified",IFERROR(INDEX(Lookup_Tables!$B$6:$B$18,MATCH(TRIM(Raw_Data!E162),Lookup_Tables!$A$6:$A$18,0)),"Unknown - Review"))</f>
        <v>Communication Equipment</v>
      </c>
      <c r="F162" s="17" t="str">
        <f>IF(TRIM(Raw_Data!F162)="","",TRIM(Raw_Data!F162))</f>
        <v>Headset Set</v>
      </c>
      <c r="G162" s="17">
        <f>IF(Raw_Data!G162="","",IF(VALUE(Raw_Data!G162)&lt;=0,"Invalid",VALUE(Raw_Data!G162)))</f>
        <v>388</v>
      </c>
      <c r="H162" s="17">
        <f>IF(Raw_Data!H162="","",IF(VALUE(Raw_Data!H162)&lt;=0,"Invalid",VALUE(Raw_Data!H162)))</f>
        <v>282</v>
      </c>
      <c r="I162" s="23">
        <f>IFERROR(VALUE(SUBSTITUTE(SUBSTITUTE(Raw_Data!I162,"₹",""),",","")),"")</f>
        <v>13573.36</v>
      </c>
      <c r="J162" s="17" t="str">
        <f>IF(TRIM(Raw_Data!J162)="","Not Specified",PROPER(TRIM(Raw_Data!J162)))</f>
        <v>Medium</v>
      </c>
      <c r="K162" s="17" t="str">
        <f>IF(TRIM(Raw_Data!K162)="","Not Specified",IFERROR(INDEX(Lookup_Tables!$E$6:$E$13,MATCH(TRIM(Raw_Data!K162),Lookup_Tables!$D$6:$D$13,0)),"Unknown - Review"))</f>
        <v>Delivered</v>
      </c>
      <c r="L162" s="17" t="str">
        <f>IF(TRIM(Raw_Data!L162)="","",PROPER(TRIM(Raw_Data!L162)))</f>
        <v>Unit Commander</v>
      </c>
      <c r="M162" s="22" t="str">
        <f>IF(Raw_Data!M162="","",IF(ISNUMBER(Raw_Data!M162),Raw_Data!M162,IF(ISNUMBER(SEARCH("/",Raw_Data!M162)),IFERROR(DATE(VALUE(RIGHT(Raw_Data!M162,4)),VALUE(MID(Raw_Data!M162,4,2)),VALUE(LEFT(Raw_Data!M162,2))),"Invalid Date"),IFERROR(DATEVALUE(Raw_Data!M162),"Invalid Date"))))</f>
        <v/>
      </c>
      <c r="N162" s="22">
        <f>IF(Raw_Data!N162="","",IF(ISNUMBER(Raw_Data!N162),Raw_Data!N162,IF(ISNUMBER(SEARCH("/",Raw_Data!N162)),IFERROR(DATE(VALUE(RIGHT(Raw_Data!N162,4)),VALUE(MID(Raw_Data!N162,4,2)),VALUE(LEFT(Raw_Data!N162,2))),"Invalid Date"),IFERROR(DATEVALUE(Raw_Data!N162),"Invalid Date"))))</f>
        <v>46019</v>
      </c>
      <c r="O162" s="22">
        <f>IF(Raw_Data!O162="","",IF(ISNUMBER(Raw_Data!O162),Raw_Data!O162,IF(ISNUMBER(SEARCH("/",Raw_Data!O162)),IFERROR(DATE(VALUE(RIGHT(Raw_Data!O162,4)),VALUE(MID(Raw_Data!O162,4,2)),VALUE(LEFT(Raw_Data!O162,2))),"Invalid Date"),IFERROR(DATEVALUE(Raw_Data!O162),"Invalid Date"))))</f>
        <v>46016</v>
      </c>
      <c r="P162" s="17" t="str">
        <f>IF(OR(TRIM(Raw_Data!P162)="",TRIM(Raw_Data!P162)="N/A",TRIM(Raw_Data!P162)="TBD",TRIM(Raw_Data!P162)="-"),"Not Assigned",PROPER(TRIM(Raw_Data!P162)))</f>
        <v>Rapid Vendors Ltd</v>
      </c>
      <c r="Q162" s="24">
        <f t="shared" si="12"/>
        <v>3827687.52</v>
      </c>
      <c r="R162" s="17">
        <f t="shared" si="13"/>
        <v>-3</v>
      </c>
      <c r="S162" s="17" t="str">
        <f>IF(COUNTIF($A$2:A162,A162)&gt;1,"Duplicate","Unique")</f>
        <v>Unique</v>
      </c>
      <c r="T162" s="17" t="str">
        <f t="shared" si="14"/>
        <v>No</v>
      </c>
      <c r="U162" s="17" t="str">
        <f t="shared" si="15"/>
        <v>No</v>
      </c>
      <c r="V162" s="17" t="str">
        <f t="shared" si="16"/>
        <v>Yes</v>
      </c>
      <c r="W162" s="17" t="str">
        <f t="shared" si="17"/>
        <v>Dec-2025</v>
      </c>
    </row>
    <row r="163" spans="1:23" x14ac:dyDescent="0.3">
      <c r="A163" s="17" t="str">
        <f>TRIM(Raw_Data!A163)</f>
        <v>REQ-2025-0162</v>
      </c>
      <c r="B163" s="22">
        <f>IF(Raw_Data!B163="","",IF(ISNUMBER(Raw_Data!B163),Raw_Data!B163,IF(ISNUMBER(SEARCH("/",Raw_Data!B163)),IFERROR(DATE(VALUE(RIGHT(Raw_Data!B163,4)),VALUE(MID(Raw_Data!B163,4,2)),VALUE(LEFT(Raw_Data!B163,2))),"Invalid Date"),IFERROR(DATEVALUE(Raw_Data!B163),"Invalid Date"))))</f>
        <v>45927</v>
      </c>
      <c r="C163" s="17" t="str">
        <f>IF(TRIM(Raw_Data!C163)="","",PROPER(TRIM(Raw_Data!C163)))</f>
        <v>Unit G - Transport Corps</v>
      </c>
      <c r="D163" s="17" t="str">
        <f>IF(TRIM(Raw_Data!D163)="","Not Specified",IFERROR(INDEX(Lookup_Tables!$H$6:$H$12,MATCH(TRIM(Raw_Data!D163),Lookup_Tables!$G$6:$G$12,0)),"Unknown - Review"))</f>
        <v>Southern</v>
      </c>
      <c r="E163" s="17" t="str">
        <f>IF(TRIM(Raw_Data!E163)="","Not Specified",IFERROR(INDEX(Lookup_Tables!$B$6:$B$18,MATCH(TRIM(Raw_Data!E163),Lookup_Tables!$A$6:$A$18,0)),"Unknown - Review"))</f>
        <v>Fuel &amp; Lubricants</v>
      </c>
      <c r="F163" s="17" t="str">
        <f>IF(TRIM(Raw_Data!F163)="","",TRIM(Raw_Data!F163))</f>
        <v>Engine Grease (5kg)</v>
      </c>
      <c r="G163" s="17">
        <f>IF(Raw_Data!G163="","",IF(VALUE(Raw_Data!G163)&lt;=0,"Invalid",VALUE(Raw_Data!G163)))</f>
        <v>319</v>
      </c>
      <c r="H163" s="17">
        <f>IF(Raw_Data!H163="","",IF(VALUE(Raw_Data!H163)&lt;=0,"Invalid",VALUE(Raw_Data!H163)))</f>
        <v>283</v>
      </c>
      <c r="I163" s="23">
        <f>IFERROR(VALUE(SUBSTITUTE(SUBSTITUTE(Raw_Data!I163,"₹",""),",","")),"")</f>
        <v>22238.82</v>
      </c>
      <c r="J163" s="17" t="str">
        <f>IF(TRIM(Raw_Data!J163)="","Not Specified",PROPER(TRIM(Raw_Data!J163)))</f>
        <v>Low</v>
      </c>
      <c r="K163" s="17" t="str">
        <f>IF(TRIM(Raw_Data!K163)="","Not Specified",IFERROR(INDEX(Lookup_Tables!$E$6:$E$13,MATCH(TRIM(Raw_Data!K163),Lookup_Tables!$D$6:$D$13,0)),"Unknown - Review"))</f>
        <v>Dispatched</v>
      </c>
      <c r="L163" s="17" t="str">
        <f>IF(TRIM(Raw_Data!L163)="","",PROPER(TRIM(Raw_Data!L163)))</f>
        <v>Logistics Officer</v>
      </c>
      <c r="M163" s="22">
        <f>IF(Raw_Data!M163="","",IF(ISNUMBER(Raw_Data!M163),Raw_Data!M163,IF(ISNUMBER(SEARCH("/",Raw_Data!M163)),IFERROR(DATE(VALUE(RIGHT(Raw_Data!M163,4)),VALUE(MID(Raw_Data!M163,4,2)),VALUE(LEFT(Raw_Data!M163,2))),"Invalid Date"),IFERROR(DATEVALUE(Raw_Data!M163),"Invalid Date"))))</f>
        <v>45930</v>
      </c>
      <c r="N163" s="22" t="str">
        <f>IF(Raw_Data!N163="","",IF(ISNUMBER(Raw_Data!N163),Raw_Data!N163,IF(ISNUMBER(SEARCH("/",Raw_Data!N163)),IFERROR(DATE(VALUE(RIGHT(Raw_Data!N163,4)),VALUE(MID(Raw_Data!N163,4,2)),VALUE(LEFT(Raw_Data!N163,2))),"Invalid Date"),IFERROR(DATEVALUE(Raw_Data!N163),"Invalid Date"))))</f>
        <v/>
      </c>
      <c r="O163" s="22" t="str">
        <f>IF(Raw_Data!O163="","",IF(ISNUMBER(Raw_Data!O163),Raw_Data!O163,IF(ISNUMBER(SEARCH("/",Raw_Data!O163)),IFERROR(DATE(VALUE(RIGHT(Raw_Data!O163,4)),VALUE(MID(Raw_Data!O163,4,2)),VALUE(LEFT(Raw_Data!O163,2))),"Invalid Date"),IFERROR(DATEVALUE(Raw_Data!O163),"Invalid Date"))))</f>
        <v/>
      </c>
      <c r="P163" s="17" t="str">
        <f>IF(OR(TRIM(Raw_Data!P163)="",TRIM(Raw_Data!P163)="N/A",TRIM(Raw_Data!P163)="TBD",TRIM(Raw_Data!P163)="-"),"Not Assigned",PROPER(TRIM(Raw_Data!P163)))</f>
        <v>Vikram Enterprises</v>
      </c>
      <c r="Q163" s="24">
        <f t="shared" si="12"/>
        <v>6293586.0599999996</v>
      </c>
      <c r="R163" s="17" t="str">
        <f t="shared" si="13"/>
        <v/>
      </c>
      <c r="S163" s="17" t="str">
        <f>IF(COUNTIF($A$2:A163,A163)&gt;1,"Duplicate","Unique")</f>
        <v>Unique</v>
      </c>
      <c r="T163" s="17" t="str">
        <f t="shared" si="14"/>
        <v>No</v>
      </c>
      <c r="U163" s="17" t="str">
        <f t="shared" si="15"/>
        <v>No</v>
      </c>
      <c r="V163" s="17" t="str">
        <f t="shared" si="16"/>
        <v>Yes</v>
      </c>
      <c r="W163" s="17" t="str">
        <f t="shared" si="17"/>
        <v>Sep-2025</v>
      </c>
    </row>
    <row r="164" spans="1:23" x14ac:dyDescent="0.3">
      <c r="A164" s="17" t="str">
        <f>TRIM(Raw_Data!A164)</f>
        <v>REQ-2025-0163</v>
      </c>
      <c r="B164" s="22">
        <f>IF(Raw_Data!B164="","",IF(ISNUMBER(Raw_Data!B164),Raw_Data!B164,IF(ISNUMBER(SEARCH("/",Raw_Data!B164)),IFERROR(DATE(VALUE(RIGHT(Raw_Data!B164,4)),VALUE(MID(Raw_Data!B164,4,2)),VALUE(LEFT(Raw_Data!B164,2))),"Invalid Date"),IFERROR(DATEVALUE(Raw_Data!B164),"Invalid Date"))))</f>
        <v>45823</v>
      </c>
      <c r="C164" s="17" t="str">
        <f>IF(TRIM(Raw_Data!C164)="","",PROPER(TRIM(Raw_Data!C164)))</f>
        <v>Unit B - Artillery</v>
      </c>
      <c r="D164" s="17" t="str">
        <f>IF(TRIM(Raw_Data!D164)="","Not Specified",IFERROR(INDEX(Lookup_Tables!$H$6:$H$12,MATCH(TRIM(Raw_Data!D164),Lookup_Tables!$G$6:$G$12,0)),"Unknown - Review"))</f>
        <v>Southern</v>
      </c>
      <c r="E164" s="17" t="str">
        <f>IF(TRIM(Raw_Data!E164)="","Not Specified",IFERROR(INDEX(Lookup_Tables!$B$6:$B$18,MATCH(TRIM(Raw_Data!E164),Lookup_Tables!$A$6:$A$18,0)),"Unknown - Review"))</f>
        <v>Tents &amp; Shelter</v>
      </c>
      <c r="F164" s="17" t="str">
        <f>IF(TRIM(Raw_Data!F164)="","",TRIM(Raw_Data!F164))</f>
        <v>Ground Sheet</v>
      </c>
      <c r="G164" s="17">
        <f>IF(Raw_Data!G164="","",IF(VALUE(Raw_Data!G164)&lt;=0,"Invalid",VALUE(Raw_Data!G164)))</f>
        <v>179</v>
      </c>
      <c r="H164" s="17">
        <f>IF(Raw_Data!H164="","",IF(VALUE(Raw_Data!H164)&lt;=0,"Invalid",VALUE(Raw_Data!H164)))</f>
        <v>176</v>
      </c>
      <c r="I164" s="23">
        <f>IFERROR(VALUE(SUBSTITUTE(SUBSTITUTE(Raw_Data!I164,"₹",""),",","")),"")</f>
        <v>37467.120000000003</v>
      </c>
      <c r="J164" s="17" t="str">
        <f>IF(TRIM(Raw_Data!J164)="","Not Specified",PROPER(TRIM(Raw_Data!J164)))</f>
        <v>High</v>
      </c>
      <c r="K164" s="17" t="str">
        <f>IF(TRIM(Raw_Data!K164)="","Not Specified",IFERROR(INDEX(Lookup_Tables!$E$6:$E$13,MATCH(TRIM(Raw_Data!K164),Lookup_Tables!$D$6:$D$13,0)),"Unknown - Review"))</f>
        <v>Delivered</v>
      </c>
      <c r="L164" s="17" t="str">
        <f>IF(TRIM(Raw_Data!L164)="","",PROPER(TRIM(Raw_Data!L164)))</f>
        <v>Stores Officer</v>
      </c>
      <c r="M164" s="22">
        <f>IF(Raw_Data!M164="","",IF(ISNUMBER(Raw_Data!M164),Raw_Data!M164,IF(ISNUMBER(SEARCH("/",Raw_Data!M164)),IFERROR(DATE(VALUE(RIGHT(Raw_Data!M164,4)),VALUE(MID(Raw_Data!M164,4,2)),VALUE(LEFT(Raw_Data!M164,2))),"Invalid Date"),IFERROR(DATEVALUE(Raw_Data!M164),"Invalid Date"))))</f>
        <v>45827</v>
      </c>
      <c r="N164" s="22">
        <f>IF(Raw_Data!N164="","",IF(ISNUMBER(Raw_Data!N164),Raw_Data!N164,IF(ISNUMBER(SEARCH("/",Raw_Data!N164)),IFERROR(DATE(VALUE(RIGHT(Raw_Data!N164,4)),VALUE(MID(Raw_Data!N164,4,2)),VALUE(LEFT(Raw_Data!N164,2))),"Invalid Date"),IFERROR(DATEVALUE(Raw_Data!N164),"Invalid Date"))))</f>
        <v>45842</v>
      </c>
      <c r="O164" s="22">
        <f>IF(Raw_Data!O164="","",IF(ISNUMBER(Raw_Data!O164),Raw_Data!O164,IF(ISNUMBER(SEARCH("/",Raw_Data!O164)),IFERROR(DATE(VALUE(RIGHT(Raw_Data!O164,4)),VALUE(MID(Raw_Data!O164,4,2)),VALUE(LEFT(Raw_Data!O164,2))),"Invalid Date"),IFERROR(DATEVALUE(Raw_Data!O164),"Invalid Date"))))</f>
        <v>45847</v>
      </c>
      <c r="P164" s="17" t="str">
        <f>IF(OR(TRIM(Raw_Data!P164)="",TRIM(Raw_Data!P164)="N/A",TRIM(Raw_Data!P164)="TBD",TRIM(Raw_Data!P164)="-"),"Not Assigned",PROPER(TRIM(Raw_Data!P164)))</f>
        <v>Central Ordnance Suppliers</v>
      </c>
      <c r="Q164" s="24">
        <f t="shared" si="12"/>
        <v>6594213.1200000001</v>
      </c>
      <c r="R164" s="17">
        <f t="shared" si="13"/>
        <v>5</v>
      </c>
      <c r="S164" s="17" t="str">
        <f>IF(COUNTIF($A$2:A164,A164)&gt;1,"Duplicate","Unique")</f>
        <v>Unique</v>
      </c>
      <c r="T164" s="17" t="str">
        <f t="shared" si="14"/>
        <v>No</v>
      </c>
      <c r="U164" s="17" t="str">
        <f t="shared" si="15"/>
        <v>No</v>
      </c>
      <c r="V164" s="17" t="str">
        <f t="shared" si="16"/>
        <v>Yes</v>
      </c>
      <c r="W164" s="17" t="str">
        <f t="shared" si="17"/>
        <v>Jun-2025</v>
      </c>
    </row>
    <row r="165" spans="1:23" x14ac:dyDescent="0.3">
      <c r="A165" s="17" t="str">
        <f>TRIM(Raw_Data!A165)</f>
        <v>REQ-2025-0164</v>
      </c>
      <c r="B165" s="22">
        <f>IF(Raw_Data!B165="","",IF(ISNUMBER(Raw_Data!B165),Raw_Data!B165,IF(ISNUMBER(SEARCH("/",Raw_Data!B165)),IFERROR(DATE(VALUE(RIGHT(Raw_Data!B165,4)),VALUE(MID(Raw_Data!B165,4,2)),VALUE(LEFT(Raw_Data!B165,2))),"Invalid Date"),IFERROR(DATEVALUE(Raw_Data!B165),"Invalid Date"))))</f>
        <v>45673</v>
      </c>
      <c r="C165" s="17" t="str">
        <f>IF(TRIM(Raw_Data!C165)="","",PROPER(TRIM(Raw_Data!C165)))</f>
        <v>Unit F - Ordnance Depot</v>
      </c>
      <c r="D165" s="17" t="str">
        <f>IF(TRIM(Raw_Data!D165)="","Not Specified",IFERROR(INDEX(Lookup_Tables!$H$6:$H$12,MATCH(TRIM(Raw_Data!D165),Lookup_Tables!$G$6:$G$12,0)),"Unknown - Review"))</f>
        <v>Northern</v>
      </c>
      <c r="E165" s="17" t="str">
        <f>IF(TRIM(Raw_Data!E165)="","Not Specified",IFERROR(INDEX(Lookup_Tables!$B$6:$B$18,MATCH(TRIM(Raw_Data!E165),Lookup_Tables!$A$6:$A$18,0)),"Unknown - Review"))</f>
        <v>Uniforms &amp; Clothing</v>
      </c>
      <c r="F165" s="17" t="str">
        <f>IF(TRIM(Raw_Data!F165)="","",TRIM(Raw_Data!F165))</f>
        <v>Field Boots (Pair)</v>
      </c>
      <c r="G165" s="17">
        <f>IF(Raw_Data!G165="","",IF(VALUE(Raw_Data!G165)&lt;=0,"Invalid",VALUE(Raw_Data!G165)))</f>
        <v>297</v>
      </c>
      <c r="H165" s="17">
        <f>IF(Raw_Data!H165="","",IF(VALUE(Raw_Data!H165)&lt;=0,"Invalid",VALUE(Raw_Data!H165)))</f>
        <v>218</v>
      </c>
      <c r="I165" s="23">
        <f>IFERROR(VALUE(SUBSTITUTE(SUBSTITUTE(Raw_Data!I165,"₹",""),",","")),"")</f>
        <v>35238</v>
      </c>
      <c r="J165" s="17" t="str">
        <f>IF(TRIM(Raw_Data!J165)="","Not Specified",PROPER(TRIM(Raw_Data!J165)))</f>
        <v>Routine</v>
      </c>
      <c r="K165" s="17" t="str">
        <f>IF(TRIM(Raw_Data!K165)="","Not Specified",IFERROR(INDEX(Lookup_Tables!$E$6:$E$13,MATCH(TRIM(Raw_Data!K165),Lookup_Tables!$D$6:$D$13,0)),"Unknown - Review"))</f>
        <v>Approved</v>
      </c>
      <c r="L165" s="17" t="str">
        <f>IF(TRIM(Raw_Data!L165)="","",PROPER(TRIM(Raw_Data!L165)))</f>
        <v>Logistics Officer</v>
      </c>
      <c r="M165" s="22">
        <f>IF(Raw_Data!M165="","",IF(ISNUMBER(Raw_Data!M165),Raw_Data!M165,IF(ISNUMBER(SEARCH("/",Raw_Data!M165)),IFERROR(DATE(VALUE(RIGHT(Raw_Data!M165,4)),VALUE(MID(Raw_Data!M165,4,2)),VALUE(LEFT(Raw_Data!M165,2))),"Invalid Date"),IFERROR(DATEVALUE(Raw_Data!M165),"Invalid Date"))))</f>
        <v>45678</v>
      </c>
      <c r="N165" s="22" t="str">
        <f>IF(Raw_Data!N165="","",IF(ISNUMBER(Raw_Data!N165),Raw_Data!N165,IF(ISNUMBER(SEARCH("/",Raw_Data!N165)),IFERROR(DATE(VALUE(RIGHT(Raw_Data!N165,4)),VALUE(MID(Raw_Data!N165,4,2)),VALUE(LEFT(Raw_Data!N165,2))),"Invalid Date"),IFERROR(DATEVALUE(Raw_Data!N165),"Invalid Date"))))</f>
        <v/>
      </c>
      <c r="O165" s="22" t="str">
        <f>IF(Raw_Data!O165="","",IF(ISNUMBER(Raw_Data!O165),Raw_Data!O165,IF(ISNUMBER(SEARCH("/",Raw_Data!O165)),IFERROR(DATE(VALUE(RIGHT(Raw_Data!O165,4)),VALUE(MID(Raw_Data!O165,4,2)),VALUE(LEFT(Raw_Data!O165,2))),"Invalid Date"),IFERROR(DATEVALUE(Raw_Data!O165),"Invalid Date"))))</f>
        <v/>
      </c>
      <c r="P165" s="17" t="str">
        <f>IF(OR(TRIM(Raw_Data!P165)="",TRIM(Raw_Data!P165)="N/A",TRIM(Raw_Data!P165)="TBD",TRIM(Raw_Data!P165)="-"),"Not Assigned",PROPER(TRIM(Raw_Data!P165)))</f>
        <v>Om Suppliers</v>
      </c>
      <c r="Q165" s="24">
        <f t="shared" si="12"/>
        <v>7681884</v>
      </c>
      <c r="R165" s="17" t="str">
        <f t="shared" si="13"/>
        <v/>
      </c>
      <c r="S165" s="17" t="str">
        <f>IF(COUNTIF($A$2:A165,A165)&gt;1,"Duplicate","Unique")</f>
        <v>Unique</v>
      </c>
      <c r="T165" s="17" t="str">
        <f t="shared" si="14"/>
        <v>No</v>
      </c>
      <c r="U165" s="17" t="str">
        <f t="shared" si="15"/>
        <v>No</v>
      </c>
      <c r="V165" s="17" t="str">
        <f t="shared" si="16"/>
        <v>Yes</v>
      </c>
      <c r="W165" s="17" t="str">
        <f t="shared" si="17"/>
        <v>Jan-2025</v>
      </c>
    </row>
    <row r="166" spans="1:23" x14ac:dyDescent="0.3">
      <c r="A166" s="17" t="str">
        <f>TRIM(Raw_Data!A166)</f>
        <v>REQ-2025-0165</v>
      </c>
      <c r="B166" s="22" t="str">
        <f>IF(Raw_Data!B166="","",IF(ISNUMBER(Raw_Data!B166),Raw_Data!B166,IF(ISNUMBER(SEARCH("/",Raw_Data!B166)),IFERROR(DATE(VALUE(RIGHT(Raw_Data!B166,4)),VALUE(MID(Raw_Data!B166,4,2)),VALUE(LEFT(Raw_Data!B166,2))),"Invalid Date"),IFERROR(DATEVALUE(Raw_Data!B166),"Invalid Date"))))</f>
        <v/>
      </c>
      <c r="C166" s="17" t="str">
        <f>IF(TRIM(Raw_Data!C166)="","",PROPER(TRIM(Raw_Data!C166)))</f>
        <v>Unit D - Signals</v>
      </c>
      <c r="D166" s="17" t="str">
        <f>IF(TRIM(Raw_Data!D166)="","Not Specified",IFERROR(INDEX(Lookup_Tables!$H$6:$H$12,MATCH(TRIM(Raw_Data!D166),Lookup_Tables!$G$6:$G$12,0)),"Unknown - Review"))</f>
        <v>Western</v>
      </c>
      <c r="E166" s="17" t="str">
        <f>IF(TRIM(Raw_Data!E166)="","Not Specified",IFERROR(INDEX(Lookup_Tables!$B$6:$B$18,MATCH(TRIM(Raw_Data!E166),Lookup_Tables!$A$6:$A$18,0)),"Unknown - Review"))</f>
        <v>Office &amp; IT Equipment</v>
      </c>
      <c r="F166" s="17" t="str">
        <f>IF(TRIM(Raw_Data!F166)="","",TRIM(Raw_Data!F166))</f>
        <v>UPS Backup Unit</v>
      </c>
      <c r="G166" s="17">
        <f>IF(Raw_Data!G166="","",IF(VALUE(Raw_Data!G166)&lt;=0,"Invalid",VALUE(Raw_Data!G166)))</f>
        <v>425</v>
      </c>
      <c r="H166" s="17">
        <f>IF(Raw_Data!H166="","",IF(VALUE(Raw_Data!H166)&lt;=0,"Invalid",VALUE(Raw_Data!H166)))</f>
        <v>424</v>
      </c>
      <c r="I166" s="23" t="str">
        <f>IFERROR(VALUE(SUBSTITUTE(SUBSTITUTE(Raw_Data!I166,"₹",""),",","")),"")</f>
        <v/>
      </c>
      <c r="J166" s="17" t="str">
        <f>IF(TRIM(Raw_Data!J166)="","Not Specified",PROPER(TRIM(Raw_Data!J166)))</f>
        <v>Medium</v>
      </c>
      <c r="K166" s="17" t="str">
        <f>IF(TRIM(Raw_Data!K166)="","Not Specified",IFERROR(INDEX(Lookup_Tables!$E$6:$E$13,MATCH(TRIM(Raw_Data!K166),Lookup_Tables!$D$6:$D$13,0)),"Unknown - Review"))</f>
        <v>Delivered</v>
      </c>
      <c r="L166" s="17" t="str">
        <f>IF(TRIM(Raw_Data!L166)="","",PROPER(TRIM(Raw_Data!L166)))</f>
        <v>Quartermaster</v>
      </c>
      <c r="M166" s="22">
        <f>IF(Raw_Data!M166="","",IF(ISNUMBER(Raw_Data!M166),Raw_Data!M166,IF(ISNUMBER(SEARCH("/",Raw_Data!M166)),IFERROR(DATE(VALUE(RIGHT(Raw_Data!M166,4)),VALUE(MID(Raw_Data!M166,4,2)),VALUE(LEFT(Raw_Data!M166,2))),"Invalid Date"),IFERROR(DATEVALUE(Raw_Data!M166),"Invalid Date"))))</f>
        <v>45817</v>
      </c>
      <c r="N166" s="22">
        <f>IF(Raw_Data!N166="","",IF(ISNUMBER(Raw_Data!N166),Raw_Data!N166,IF(ISNUMBER(SEARCH("/",Raw_Data!N166)),IFERROR(DATE(VALUE(RIGHT(Raw_Data!N166,4)),VALUE(MID(Raw_Data!N166,4,2)),VALUE(LEFT(Raw_Data!N166,2))),"Invalid Date"),IFERROR(DATEVALUE(Raw_Data!N166),"Invalid Date"))))</f>
        <v>45836</v>
      </c>
      <c r="O166" s="22">
        <f>IF(Raw_Data!O166="","",IF(ISNUMBER(Raw_Data!O166),Raw_Data!O166,IF(ISNUMBER(SEARCH("/",Raw_Data!O166)),IFERROR(DATE(VALUE(RIGHT(Raw_Data!O166,4)),VALUE(MID(Raw_Data!O166,4,2)),VALUE(LEFT(Raw_Data!O166,2))),"Invalid Date"),IFERROR(DATEVALUE(Raw_Data!O166),"Invalid Date"))))</f>
        <v>45843</v>
      </c>
      <c r="P166" s="17" t="str">
        <f>IF(OR(TRIM(Raw_Data!P166)="",TRIM(Raw_Data!P166)="N/A",TRIM(Raw_Data!P166)="TBD",TRIM(Raw_Data!P166)="-"),"Not Assigned",PROPER(TRIM(Raw_Data!P166)))</f>
        <v>Sena Supply Co</v>
      </c>
      <c r="Q166" s="24" t="str">
        <f t="shared" si="12"/>
        <v/>
      </c>
      <c r="R166" s="17">
        <f t="shared" si="13"/>
        <v>7</v>
      </c>
      <c r="S166" s="17" t="str">
        <f>IF(COUNTIF($A$2:A166,A166)&gt;1,"Duplicate","Unique")</f>
        <v>Unique</v>
      </c>
      <c r="T166" s="17" t="str">
        <f t="shared" si="14"/>
        <v>No</v>
      </c>
      <c r="U166" s="17" t="str">
        <f t="shared" si="15"/>
        <v>No</v>
      </c>
      <c r="V166" s="17" t="str">
        <f t="shared" si="16"/>
        <v>Yes</v>
      </c>
      <c r="W166" s="17" t="str">
        <f t="shared" si="17"/>
        <v/>
      </c>
    </row>
    <row r="167" spans="1:23" x14ac:dyDescent="0.3">
      <c r="A167" s="17" t="str">
        <f>TRIM(Raw_Data!A167)</f>
        <v>REQ-2025-0166</v>
      </c>
      <c r="B167" s="22">
        <f>IF(Raw_Data!B167="","",IF(ISNUMBER(Raw_Data!B167),Raw_Data!B167,IF(ISNUMBER(SEARCH("/",Raw_Data!B167)),IFERROR(DATE(VALUE(RIGHT(Raw_Data!B167,4)),VALUE(MID(Raw_Data!B167,4,2)),VALUE(LEFT(Raw_Data!B167,2))),"Invalid Date"),IFERROR(DATEVALUE(Raw_Data!B167),"Invalid Date"))))</f>
        <v>45716</v>
      </c>
      <c r="C167" s="17" t="str">
        <f>IF(TRIM(Raw_Data!C167)="","",PROPER(TRIM(Raw_Data!C167)))</f>
        <v>Unit B - Artillery</v>
      </c>
      <c r="D167" s="17" t="str">
        <f>IF(TRIM(Raw_Data!D167)="","Not Specified",IFERROR(INDEX(Lookup_Tables!$H$6:$H$12,MATCH(TRIM(Raw_Data!D167),Lookup_Tables!$G$6:$G$12,0)),"Unknown - Review"))</f>
        <v>Southern</v>
      </c>
      <c r="E167" s="17" t="str">
        <f>IF(TRIM(Raw_Data!E167)="","Not Specified",IFERROR(INDEX(Lookup_Tables!$B$6:$B$18,MATCH(TRIM(Raw_Data!E167),Lookup_Tables!$A$6:$A$18,0)),"Unknown - Review"))</f>
        <v>Uniforms &amp; Clothing</v>
      </c>
      <c r="F167" s="17" t="str">
        <f>IF(TRIM(Raw_Data!F167)="","",TRIM(Raw_Data!F167))</f>
        <v>Field Boots (Pair)</v>
      </c>
      <c r="G167" s="17">
        <f>IF(Raw_Data!G167="","",IF(VALUE(Raw_Data!G167)&lt;=0,"Invalid",VALUE(Raw_Data!G167)))</f>
        <v>282</v>
      </c>
      <c r="H167" s="17" t="str">
        <f>IF(Raw_Data!H167="","",IF(VALUE(Raw_Data!H167)&lt;=0,"Invalid",VALUE(Raw_Data!H167)))</f>
        <v/>
      </c>
      <c r="I167" s="23" t="str">
        <f>IFERROR(VALUE(SUBSTITUTE(SUBSTITUTE(Raw_Data!I167,"₹",""),",","")),"")</f>
        <v/>
      </c>
      <c r="J167" s="17" t="str">
        <f>IF(TRIM(Raw_Data!J167)="","Not Specified",PROPER(TRIM(Raw_Data!J167)))</f>
        <v>High</v>
      </c>
      <c r="K167" s="17" t="str">
        <f>IF(TRIM(Raw_Data!K167)="","Not Specified",IFERROR(INDEX(Lookup_Tables!$E$6:$E$13,MATCH(TRIM(Raw_Data!K167),Lookup_Tables!$D$6:$D$13,0)),"Unknown - Review"))</f>
        <v>Pending</v>
      </c>
      <c r="L167" s="17" t="str">
        <f>IF(TRIM(Raw_Data!L167)="","",PROPER(TRIM(Raw_Data!L167)))</f>
        <v>Logistics Officer</v>
      </c>
      <c r="M167" s="22" t="str">
        <f>IF(Raw_Data!M167="","",IF(ISNUMBER(Raw_Data!M167),Raw_Data!M167,IF(ISNUMBER(SEARCH("/",Raw_Data!M167)),IFERROR(DATE(VALUE(RIGHT(Raw_Data!M167,4)),VALUE(MID(Raw_Data!M167,4,2)),VALUE(LEFT(Raw_Data!M167,2))),"Invalid Date"),IFERROR(DATEVALUE(Raw_Data!M167),"Invalid Date"))))</f>
        <v/>
      </c>
      <c r="N167" s="22" t="str">
        <f>IF(Raw_Data!N167="","",IF(ISNUMBER(Raw_Data!N167),Raw_Data!N167,IF(ISNUMBER(SEARCH("/",Raw_Data!N167)),IFERROR(DATE(VALUE(RIGHT(Raw_Data!N167,4)),VALUE(MID(Raw_Data!N167,4,2)),VALUE(LEFT(Raw_Data!N167,2))),"Invalid Date"),IFERROR(DATEVALUE(Raw_Data!N167),"Invalid Date"))))</f>
        <v/>
      </c>
      <c r="O167" s="22" t="str">
        <f>IF(Raw_Data!O167="","",IF(ISNUMBER(Raw_Data!O167),Raw_Data!O167,IF(ISNUMBER(SEARCH("/",Raw_Data!O167)),IFERROR(DATE(VALUE(RIGHT(Raw_Data!O167,4)),VALUE(MID(Raw_Data!O167,4,2)),VALUE(LEFT(Raw_Data!O167,2))),"Invalid Date"),IFERROR(DATEVALUE(Raw_Data!O167),"Invalid Date"))))</f>
        <v/>
      </c>
      <c r="P167" s="17" t="str">
        <f>IF(OR(TRIM(Raw_Data!P167)="",TRIM(Raw_Data!P167)="N/A",TRIM(Raw_Data!P167)="TBD",TRIM(Raw_Data!P167)="-"),"Not Assigned",PROPER(TRIM(Raw_Data!P167)))</f>
        <v>Shakti Traders</v>
      </c>
      <c r="Q167" s="24" t="str">
        <f t="shared" si="12"/>
        <v/>
      </c>
      <c r="R167" s="17" t="str">
        <f t="shared" si="13"/>
        <v/>
      </c>
      <c r="S167" s="17" t="str">
        <f>IF(COUNTIF($A$2:A167,A167)&gt;1,"Duplicate","Unique")</f>
        <v>Unique</v>
      </c>
      <c r="T167" s="17" t="str">
        <f t="shared" si="14"/>
        <v>No</v>
      </c>
      <c r="U167" s="17" t="str">
        <f t="shared" si="15"/>
        <v>No</v>
      </c>
      <c r="V167" s="17" t="str">
        <f t="shared" si="16"/>
        <v>Yes</v>
      </c>
      <c r="W167" s="17" t="str">
        <f t="shared" si="17"/>
        <v>Feb-2025</v>
      </c>
    </row>
    <row r="168" spans="1:23" x14ac:dyDescent="0.3">
      <c r="A168" s="17" t="str">
        <f>TRIM(Raw_Data!A168)</f>
        <v>REQ-2025-0167</v>
      </c>
      <c r="B168" s="22">
        <f>IF(Raw_Data!B168="","",IF(ISNUMBER(Raw_Data!B168),Raw_Data!B168,IF(ISNUMBER(SEARCH("/",Raw_Data!B168)),IFERROR(DATE(VALUE(RIGHT(Raw_Data!B168,4)),VALUE(MID(Raw_Data!B168,4,2)),VALUE(LEFT(Raw_Data!B168,2))),"Invalid Date"),IFERROR(DATEVALUE(Raw_Data!B168),"Invalid Date"))))</f>
        <v>45759</v>
      </c>
      <c r="C168" s="17" t="str">
        <f>IF(TRIM(Raw_Data!C168)="","",PROPER(TRIM(Raw_Data!C168)))</f>
        <v>Unit H - Air Defence</v>
      </c>
      <c r="D168" s="17" t="str">
        <f>IF(TRIM(Raw_Data!D168)="","Not Specified",IFERROR(INDEX(Lookup_Tables!$H$6:$H$12,MATCH(TRIM(Raw_Data!D168),Lookup_Tables!$G$6:$G$12,0)),"Unknown - Review"))</f>
        <v>Eastern</v>
      </c>
      <c r="E168" s="17" t="str">
        <f>IF(TRIM(Raw_Data!E168)="","Not Specified",IFERROR(INDEX(Lookup_Tables!$B$6:$B$18,MATCH(TRIM(Raw_Data!E168),Lookup_Tables!$A$6:$A$18,0)),"Unknown - Review"))</f>
        <v>Communication Equipment</v>
      </c>
      <c r="F168" s="17" t="str">
        <f>IF(TRIM(Raw_Data!F168)="","",TRIM(Raw_Data!F168))</f>
        <v>Battery Pack (Radio)</v>
      </c>
      <c r="G168" s="17">
        <f>IF(Raw_Data!G168="","",IF(VALUE(Raw_Data!G168)&lt;=0,"Invalid",VALUE(Raw_Data!G168)))</f>
        <v>295</v>
      </c>
      <c r="H168" s="17">
        <f>IF(Raw_Data!H168="","",IF(VALUE(Raw_Data!H168)&lt;=0,"Invalid",VALUE(Raw_Data!H168)))</f>
        <v>287</v>
      </c>
      <c r="I168" s="23">
        <f>IFERROR(VALUE(SUBSTITUTE(SUBSTITUTE(Raw_Data!I168,"₹",""),",","")),"")</f>
        <v>21152</v>
      </c>
      <c r="J168" s="17" t="str">
        <f>IF(TRIM(Raw_Data!J168)="","Not Specified",PROPER(TRIM(Raw_Data!J168)))</f>
        <v>High</v>
      </c>
      <c r="K168" s="17" t="str">
        <f>IF(TRIM(Raw_Data!K168)="","Not Specified",IFERROR(INDEX(Lookup_Tables!$E$6:$E$13,MATCH(TRIM(Raw_Data!K168),Lookup_Tables!$D$6:$D$13,0)),"Unknown - Review"))</f>
        <v>Delivered</v>
      </c>
      <c r="L168" s="17" t="str">
        <f>IF(TRIM(Raw_Data!L168)="","",PROPER(TRIM(Raw_Data!L168)))</f>
        <v>Unit Commander</v>
      </c>
      <c r="M168" s="22" t="str">
        <f>IF(Raw_Data!M168="","",IF(ISNUMBER(Raw_Data!M168),Raw_Data!M168,IF(ISNUMBER(SEARCH("/",Raw_Data!M168)),IFERROR(DATE(VALUE(RIGHT(Raw_Data!M168,4)),VALUE(MID(Raw_Data!M168,4,2)),VALUE(LEFT(Raw_Data!M168,2))),"Invalid Date"),IFERROR(DATEVALUE(Raw_Data!M168),"Invalid Date"))))</f>
        <v/>
      </c>
      <c r="N168" s="22">
        <f>IF(Raw_Data!N168="","",IF(ISNUMBER(Raw_Data!N168),Raw_Data!N168,IF(ISNUMBER(SEARCH("/",Raw_Data!N168)),IFERROR(DATE(VALUE(RIGHT(Raw_Data!N168,4)),VALUE(MID(Raw_Data!N168,4,2)),VALUE(LEFT(Raw_Data!N168,2))),"Invalid Date"),IFERROR(DATEVALUE(Raw_Data!N168),"Invalid Date"))))</f>
        <v>45781</v>
      </c>
      <c r="O168" s="22">
        <f>IF(Raw_Data!O168="","",IF(ISNUMBER(Raw_Data!O168),Raw_Data!O168,IF(ISNUMBER(SEARCH("/",Raw_Data!O168)),IFERROR(DATE(VALUE(RIGHT(Raw_Data!O168,4)),VALUE(MID(Raw_Data!O168,4,2)),VALUE(LEFT(Raw_Data!O168,2))),"Invalid Date"),IFERROR(DATEVALUE(Raw_Data!O168),"Invalid Date"))))</f>
        <v>45797</v>
      </c>
      <c r="P168" s="17" t="str">
        <f>IF(OR(TRIM(Raw_Data!P168)="",TRIM(Raw_Data!P168)="N/A",TRIM(Raw_Data!P168)="TBD",TRIM(Raw_Data!P168)="-"),"Not Assigned",PROPER(TRIM(Raw_Data!P168)))</f>
        <v>Central Ordnance Suppliers</v>
      </c>
      <c r="Q168" s="24">
        <f t="shared" si="12"/>
        <v>6070624</v>
      </c>
      <c r="R168" s="17">
        <f t="shared" si="13"/>
        <v>16</v>
      </c>
      <c r="S168" s="17" t="str">
        <f>IF(COUNTIF($A$2:A168,A168)&gt;1,"Duplicate","Unique")</f>
        <v>Unique</v>
      </c>
      <c r="T168" s="17" t="str">
        <f t="shared" si="14"/>
        <v>No</v>
      </c>
      <c r="U168" s="17" t="str">
        <f t="shared" si="15"/>
        <v>No</v>
      </c>
      <c r="V168" s="17" t="str">
        <f t="shared" si="16"/>
        <v>Yes</v>
      </c>
      <c r="W168" s="17" t="str">
        <f t="shared" si="17"/>
        <v>Apr-2025</v>
      </c>
    </row>
    <row r="169" spans="1:23" x14ac:dyDescent="0.3">
      <c r="A169" s="17" t="str">
        <f>TRIM(Raw_Data!A169)</f>
        <v>REQ-2025-0168</v>
      </c>
      <c r="B169" s="22" t="str">
        <f>IF(Raw_Data!B169="","",IF(ISNUMBER(Raw_Data!B169),Raw_Data!B169,IF(ISNUMBER(SEARCH("/",Raw_Data!B169)),IFERROR(DATE(VALUE(RIGHT(Raw_Data!B169,4)),VALUE(MID(Raw_Data!B169,4,2)),VALUE(LEFT(Raw_Data!B169,2))),"Invalid Date"),IFERROR(DATEVALUE(Raw_Data!B169),"Invalid Date"))))</f>
        <v/>
      </c>
      <c r="C169" s="17" t="str">
        <f>IF(TRIM(Raw_Data!C169)="","",PROPER(TRIM(Raw_Data!C169)))</f>
        <v>Unit C - Engineers</v>
      </c>
      <c r="D169" s="17" t="str">
        <f>IF(TRIM(Raw_Data!D169)="","Not Specified",IFERROR(INDEX(Lookup_Tables!$H$6:$H$12,MATCH(TRIM(Raw_Data!D169),Lookup_Tables!$G$6:$G$12,0)),"Unknown - Review"))</f>
        <v>Eastern</v>
      </c>
      <c r="E169" s="17" t="str">
        <f>IF(TRIM(Raw_Data!E169)="","Not Specified",IFERROR(INDEX(Lookup_Tables!$B$6:$B$18,MATCH(TRIM(Raw_Data!E169),Lookup_Tables!$A$6:$A$18,0)),"Unknown - Review"))</f>
        <v>Construction Material</v>
      </c>
      <c r="F169" s="17" t="str">
        <f>IF(TRIM(Raw_Data!F169)="","",TRIM(Raw_Data!F169))</f>
        <v>Cement Bag (50kg)</v>
      </c>
      <c r="G169" s="17">
        <f>IF(Raw_Data!G169="","",IF(VALUE(Raw_Data!G169)&lt;=0,"Invalid",VALUE(Raw_Data!G169)))</f>
        <v>277</v>
      </c>
      <c r="H169" s="17">
        <f>IF(Raw_Data!H169="","",IF(VALUE(Raw_Data!H169)&lt;=0,"Invalid",VALUE(Raw_Data!H169)))</f>
        <v>213</v>
      </c>
      <c r="I169" s="23">
        <f>IFERROR(VALUE(SUBSTITUTE(SUBSTITUTE(Raw_Data!I169,"₹",""),",","")),"")</f>
        <v>11080</v>
      </c>
      <c r="J169" s="17" t="str">
        <f>IF(TRIM(Raw_Data!J169)="","Not Specified",PROPER(TRIM(Raw_Data!J169)))</f>
        <v>High</v>
      </c>
      <c r="K169" s="17" t="str">
        <f>IF(TRIM(Raw_Data!K169)="","Not Specified",IFERROR(INDEX(Lookup_Tables!$E$6:$E$13,MATCH(TRIM(Raw_Data!K169),Lookup_Tables!$D$6:$D$13,0)),"Unknown - Review"))</f>
        <v>Dispatched</v>
      </c>
      <c r="L169" s="17" t="str">
        <f>IF(TRIM(Raw_Data!L169)="","",PROPER(TRIM(Raw_Data!L169)))</f>
        <v>Stores Officer</v>
      </c>
      <c r="M169" s="22" t="str">
        <f>IF(Raw_Data!M169="","",IF(ISNUMBER(Raw_Data!M169),Raw_Data!M169,IF(ISNUMBER(SEARCH("/",Raw_Data!M169)),IFERROR(DATE(VALUE(RIGHT(Raw_Data!M169,4)),VALUE(MID(Raw_Data!M169,4,2)),VALUE(LEFT(Raw_Data!M169,2))),"Invalid Date"),IFERROR(DATEVALUE(Raw_Data!M169),"Invalid Date"))))</f>
        <v/>
      </c>
      <c r="N169" s="22">
        <f>IF(Raw_Data!N169="","",IF(ISNUMBER(Raw_Data!N169),Raw_Data!N169,IF(ISNUMBER(SEARCH("/",Raw_Data!N169)),IFERROR(DATE(VALUE(RIGHT(Raw_Data!N169,4)),VALUE(MID(Raw_Data!N169,4,2)),VALUE(LEFT(Raw_Data!N169,2))),"Invalid Date"),IFERROR(DATEVALUE(Raw_Data!N169),"Invalid Date"))))</f>
        <v>45847</v>
      </c>
      <c r="O169" s="22" t="str">
        <f>IF(Raw_Data!O169="","",IF(ISNUMBER(Raw_Data!O169),Raw_Data!O169,IF(ISNUMBER(SEARCH("/",Raw_Data!O169)),IFERROR(DATE(VALUE(RIGHT(Raw_Data!O169,4)),VALUE(MID(Raw_Data!O169,4,2)),VALUE(LEFT(Raw_Data!O169,2))),"Invalid Date"),IFERROR(DATEVALUE(Raw_Data!O169),"Invalid Date"))))</f>
        <v/>
      </c>
      <c r="P169" s="17" t="str">
        <f>IF(OR(TRIM(Raw_Data!P169)="",TRIM(Raw_Data!P169)="N/A",TRIM(Raw_Data!P169)="TBD",TRIM(Raw_Data!P169)="-"),"Not Assigned",PROPER(TRIM(Raw_Data!P169)))</f>
        <v>Rapid Vendors Ltd</v>
      </c>
      <c r="Q169" s="24">
        <f t="shared" si="12"/>
        <v>2360040</v>
      </c>
      <c r="R169" s="17" t="str">
        <f t="shared" si="13"/>
        <v/>
      </c>
      <c r="S169" s="17" t="str">
        <f>IF(COUNTIF($A$2:A169,A169)&gt;1,"Duplicate","Unique")</f>
        <v>Unique</v>
      </c>
      <c r="T169" s="17" t="str">
        <f t="shared" si="14"/>
        <v>No</v>
      </c>
      <c r="U169" s="17" t="str">
        <f t="shared" si="15"/>
        <v>No</v>
      </c>
      <c r="V169" s="17" t="str">
        <f t="shared" si="16"/>
        <v>Yes</v>
      </c>
      <c r="W169" s="17" t="str">
        <f t="shared" si="17"/>
        <v/>
      </c>
    </row>
    <row r="170" spans="1:23" x14ac:dyDescent="0.3">
      <c r="A170" s="17" t="str">
        <f>TRIM(Raw_Data!A170)</f>
        <v>REQ-2025-0169</v>
      </c>
      <c r="B170" s="22">
        <f>IF(Raw_Data!B170="","",IF(ISNUMBER(Raw_Data!B170),Raw_Data!B170,IF(ISNUMBER(SEARCH("/",Raw_Data!B170)),IFERROR(DATE(VALUE(RIGHT(Raw_Data!B170,4)),VALUE(MID(Raw_Data!B170,4,2)),VALUE(LEFT(Raw_Data!B170,2))),"Invalid Date"),IFERROR(DATEVALUE(Raw_Data!B170),"Invalid Date"))))</f>
        <v>45964</v>
      </c>
      <c r="C170" s="17" t="str">
        <f>IF(TRIM(Raw_Data!C170)="","",PROPER(TRIM(Raw_Data!C170)))</f>
        <v>Unit H - Air Defence</v>
      </c>
      <c r="D170" s="17" t="str">
        <f>IF(TRIM(Raw_Data!D170)="","Not Specified",IFERROR(INDEX(Lookup_Tables!$H$6:$H$12,MATCH(TRIM(Raw_Data!D170),Lookup_Tables!$G$6:$G$12,0)),"Unknown - Review"))</f>
        <v>Eastern</v>
      </c>
      <c r="E170" s="17" t="str">
        <f>IF(TRIM(Raw_Data!E170)="","Not Specified",IFERROR(INDEX(Lookup_Tables!$B$6:$B$18,MATCH(TRIM(Raw_Data!E170),Lookup_Tables!$A$6:$A$18,0)),"Unknown - Review"))</f>
        <v>Construction Material</v>
      </c>
      <c r="F170" s="17" t="str">
        <f>IF(TRIM(Raw_Data!F170)="","",TRIM(Raw_Data!F170))</f>
        <v>Cement Bag (50kg)</v>
      </c>
      <c r="G170" s="17">
        <f>IF(Raw_Data!G170="","",IF(VALUE(Raw_Data!G170)&lt;=0,"Invalid",VALUE(Raw_Data!G170)))</f>
        <v>258</v>
      </c>
      <c r="H170" s="17" t="str">
        <f>IF(Raw_Data!H170="","",IF(VALUE(Raw_Data!H170)&lt;=0,"Invalid",VALUE(Raw_Data!H170)))</f>
        <v/>
      </c>
      <c r="I170" s="23">
        <f>IFERROR(VALUE(SUBSTITUTE(SUBSTITUTE(Raw_Data!I170,"₹",""),",","")),"")</f>
        <v>2907.48</v>
      </c>
      <c r="J170" s="17" t="str">
        <f>IF(TRIM(Raw_Data!J170)="","Not Specified",PROPER(TRIM(Raw_Data!J170)))</f>
        <v>Routine</v>
      </c>
      <c r="K170" s="17" t="str">
        <f>IF(TRIM(Raw_Data!K170)="","Not Specified",IFERROR(INDEX(Lookup_Tables!$E$6:$E$13,MATCH(TRIM(Raw_Data!K170),Lookup_Tables!$D$6:$D$13,0)),"Unknown - Review"))</f>
        <v>Pending</v>
      </c>
      <c r="L170" s="17" t="str">
        <f>IF(TRIM(Raw_Data!L170)="","",PROPER(TRIM(Raw_Data!L170)))</f>
        <v>Stores Officer</v>
      </c>
      <c r="M170" s="22" t="str">
        <f>IF(Raw_Data!M170="","",IF(ISNUMBER(Raw_Data!M170),Raw_Data!M170,IF(ISNUMBER(SEARCH("/",Raw_Data!M170)),IFERROR(DATE(VALUE(RIGHT(Raw_Data!M170,4)),VALUE(MID(Raw_Data!M170,4,2)),VALUE(LEFT(Raw_Data!M170,2))),"Invalid Date"),IFERROR(DATEVALUE(Raw_Data!M170),"Invalid Date"))))</f>
        <v/>
      </c>
      <c r="N170" s="22" t="str">
        <f>IF(Raw_Data!N170="","",IF(ISNUMBER(Raw_Data!N170),Raw_Data!N170,IF(ISNUMBER(SEARCH("/",Raw_Data!N170)),IFERROR(DATE(VALUE(RIGHT(Raw_Data!N170,4)),VALUE(MID(Raw_Data!N170,4,2)),VALUE(LEFT(Raw_Data!N170,2))),"Invalid Date"),IFERROR(DATEVALUE(Raw_Data!N170),"Invalid Date"))))</f>
        <v/>
      </c>
      <c r="O170" s="22" t="str">
        <f>IF(Raw_Data!O170="","",IF(ISNUMBER(Raw_Data!O170),Raw_Data!O170,IF(ISNUMBER(SEARCH("/",Raw_Data!O170)),IFERROR(DATE(VALUE(RIGHT(Raw_Data!O170,4)),VALUE(MID(Raw_Data!O170,4,2)),VALUE(LEFT(Raw_Data!O170,2))),"Invalid Date"),IFERROR(DATEVALUE(Raw_Data!O170),"Invalid Date"))))</f>
        <v/>
      </c>
      <c r="P170" s="17" t="str">
        <f>IF(OR(TRIM(Raw_Data!P170)="",TRIM(Raw_Data!P170)="N/A",TRIM(Raw_Data!P170)="TBD",TRIM(Raw_Data!P170)="-"),"Not Assigned",PROPER(TRIM(Raw_Data!P170)))</f>
        <v>National Defence Stores</v>
      </c>
      <c r="Q170" s="24" t="str">
        <f t="shared" si="12"/>
        <v/>
      </c>
      <c r="R170" s="17" t="str">
        <f t="shared" si="13"/>
        <v/>
      </c>
      <c r="S170" s="17" t="str">
        <f>IF(COUNTIF($A$2:A170,A170)&gt;1,"Duplicate","Unique")</f>
        <v>Unique</v>
      </c>
      <c r="T170" s="17" t="str">
        <f t="shared" si="14"/>
        <v>No</v>
      </c>
      <c r="U170" s="17" t="str">
        <f t="shared" si="15"/>
        <v>No</v>
      </c>
      <c r="V170" s="17" t="str">
        <f t="shared" si="16"/>
        <v>Yes</v>
      </c>
      <c r="W170" s="17" t="str">
        <f t="shared" si="17"/>
        <v>Nov-2025</v>
      </c>
    </row>
    <row r="171" spans="1:23" x14ac:dyDescent="0.3">
      <c r="A171" s="17" t="str">
        <f>TRIM(Raw_Data!A171)</f>
        <v>REQ-2025-0170</v>
      </c>
      <c r="B171" s="22" t="str">
        <f>IF(Raw_Data!B171="","",IF(ISNUMBER(Raw_Data!B171),Raw_Data!B171,IF(ISNUMBER(SEARCH("/",Raw_Data!B171)),IFERROR(DATE(VALUE(RIGHT(Raw_Data!B171,4)),VALUE(MID(Raw_Data!B171,4,2)),VALUE(LEFT(Raw_Data!B171,2))),"Invalid Date"),IFERROR(DATEVALUE(Raw_Data!B171),"Invalid Date"))))</f>
        <v/>
      </c>
      <c r="C171" s="17" t="str">
        <f>IF(TRIM(Raw_Data!C171)="","",PROPER(TRIM(Raw_Data!C171)))</f>
        <v>Unit G - Transport Corps</v>
      </c>
      <c r="D171" s="17" t="str">
        <f>IF(TRIM(Raw_Data!D171)="","Not Specified",IFERROR(INDEX(Lookup_Tables!$H$6:$H$12,MATCH(TRIM(Raw_Data!D171),Lookup_Tables!$G$6:$G$12,0)),"Unknown - Review"))</f>
        <v>Southern</v>
      </c>
      <c r="E171" s="17" t="str">
        <f>IF(TRIM(Raw_Data!E171)="","Not Specified",IFERROR(INDEX(Lookup_Tables!$B$6:$B$18,MATCH(TRIM(Raw_Data!E171),Lookup_Tables!$A$6:$A$18,0)),"Unknown - Review"))</f>
        <v>Fuel &amp; Lubricants</v>
      </c>
      <c r="F171" s="17" t="str">
        <f>IF(TRIM(Raw_Data!F171)="","",TRIM(Raw_Data!F171))</f>
        <v>Diesel (Drum 200L)</v>
      </c>
      <c r="G171" s="17">
        <f>IF(Raw_Data!G171="","",IF(VALUE(Raw_Data!G171)&lt;=0,"Invalid",VALUE(Raw_Data!G171)))</f>
        <v>441</v>
      </c>
      <c r="H171" s="17" t="str">
        <f>IF(Raw_Data!H171="","",IF(VALUE(Raw_Data!H171)&lt;=0,"Invalid",VALUE(Raw_Data!H171)))</f>
        <v/>
      </c>
      <c r="I171" s="23">
        <f>IFERROR(VALUE(SUBSTITUTE(SUBSTITUTE(Raw_Data!I171,"₹",""),",","")),"")</f>
        <v>16710</v>
      </c>
      <c r="J171" s="17" t="str">
        <f>IF(TRIM(Raw_Data!J171)="","Not Specified",PROPER(TRIM(Raw_Data!J171)))</f>
        <v>Routine</v>
      </c>
      <c r="K171" s="17" t="str">
        <f>IF(TRIM(Raw_Data!K171)="","Not Specified",IFERROR(INDEX(Lookup_Tables!$E$6:$E$13,MATCH(TRIM(Raw_Data!K171),Lookup_Tables!$D$6:$D$13,0)),"Unknown - Review"))</f>
        <v>Pending</v>
      </c>
      <c r="L171" s="17" t="str">
        <f>IF(TRIM(Raw_Data!L171)="","",PROPER(TRIM(Raw_Data!L171)))</f>
        <v>Logistics Officer</v>
      </c>
      <c r="M171" s="22" t="str">
        <f>IF(Raw_Data!M171="","",IF(ISNUMBER(Raw_Data!M171),Raw_Data!M171,IF(ISNUMBER(SEARCH("/",Raw_Data!M171)),IFERROR(DATE(VALUE(RIGHT(Raw_Data!M171,4)),VALUE(MID(Raw_Data!M171,4,2)),VALUE(LEFT(Raw_Data!M171,2))),"Invalid Date"),IFERROR(DATEVALUE(Raw_Data!M171),"Invalid Date"))))</f>
        <v/>
      </c>
      <c r="N171" s="22" t="str">
        <f>IF(Raw_Data!N171="","",IF(ISNUMBER(Raw_Data!N171),Raw_Data!N171,IF(ISNUMBER(SEARCH("/",Raw_Data!N171)),IFERROR(DATE(VALUE(RIGHT(Raw_Data!N171,4)),VALUE(MID(Raw_Data!N171,4,2)),VALUE(LEFT(Raw_Data!N171,2))),"Invalid Date"),IFERROR(DATEVALUE(Raw_Data!N171),"Invalid Date"))))</f>
        <v/>
      </c>
      <c r="O171" s="22" t="str">
        <f>IF(Raw_Data!O171="","",IF(ISNUMBER(Raw_Data!O171),Raw_Data!O171,IF(ISNUMBER(SEARCH("/",Raw_Data!O171)),IFERROR(DATE(VALUE(RIGHT(Raw_Data!O171,4)),VALUE(MID(Raw_Data!O171,4,2)),VALUE(LEFT(Raw_Data!O171,2))),"Invalid Date"),IFERROR(DATEVALUE(Raw_Data!O171),"Invalid Date"))))</f>
        <v/>
      </c>
      <c r="P171" s="17" t="str">
        <f>IF(OR(TRIM(Raw_Data!P171)="",TRIM(Raw_Data!P171)="N/A",TRIM(Raw_Data!P171)="TBD",TRIM(Raw_Data!P171)="-"),"Not Assigned",PROPER(TRIM(Raw_Data!P171)))</f>
        <v>Not Assigned</v>
      </c>
      <c r="Q171" s="24" t="str">
        <f t="shared" si="12"/>
        <v/>
      </c>
      <c r="R171" s="17" t="str">
        <f t="shared" si="13"/>
        <v/>
      </c>
      <c r="S171" s="17" t="str">
        <f>IF(COUNTIF($A$2:A171,A171)&gt;1,"Duplicate","Unique")</f>
        <v>Unique</v>
      </c>
      <c r="T171" s="17" t="str">
        <f t="shared" si="14"/>
        <v>No</v>
      </c>
      <c r="U171" s="17" t="str">
        <f t="shared" si="15"/>
        <v>No</v>
      </c>
      <c r="V171" s="17" t="str">
        <f t="shared" si="16"/>
        <v>Yes</v>
      </c>
      <c r="W171" s="17" t="str">
        <f t="shared" si="17"/>
        <v/>
      </c>
    </row>
    <row r="172" spans="1:23" x14ac:dyDescent="0.3">
      <c r="A172" s="17" t="str">
        <f>TRIM(Raw_Data!A172)</f>
        <v>REQ-2025-0171</v>
      </c>
      <c r="B172" s="22" t="str">
        <f>IF(Raw_Data!B172="","",IF(ISNUMBER(Raw_Data!B172),Raw_Data!B172,IF(ISNUMBER(SEARCH("/",Raw_Data!B172)),IFERROR(DATE(VALUE(RIGHT(Raw_Data!B172,4)),VALUE(MID(Raw_Data!B172,4,2)),VALUE(LEFT(Raw_Data!B172,2))),"Invalid Date"),IFERROR(DATEVALUE(Raw_Data!B172),"Invalid Date"))))</f>
        <v/>
      </c>
      <c r="C172" s="17" t="str">
        <f>IF(TRIM(Raw_Data!C172)="","",PROPER(TRIM(Raw_Data!C172)))</f>
        <v>Unit D - Signals</v>
      </c>
      <c r="D172" s="17" t="str">
        <f>IF(TRIM(Raw_Data!D172)="","Not Specified",IFERROR(INDEX(Lookup_Tables!$H$6:$H$12,MATCH(TRIM(Raw_Data!D172),Lookup_Tables!$G$6:$G$12,0)),"Unknown - Review"))</f>
        <v>Western</v>
      </c>
      <c r="E172" s="17" t="str">
        <f>IF(TRIM(Raw_Data!E172)="","Not Specified",IFERROR(INDEX(Lookup_Tables!$B$6:$B$18,MATCH(TRIM(Raw_Data!E172),Lookup_Tables!$A$6:$A$18,0)),"Unknown - Review"))</f>
        <v>Fuel &amp; Lubricants</v>
      </c>
      <c r="F172" s="17" t="str">
        <f>IF(TRIM(Raw_Data!F172)="","",TRIM(Raw_Data!F172))</f>
        <v>Hydraulic Fluid (20L)</v>
      </c>
      <c r="G172" s="17" t="str">
        <f>IF(Raw_Data!G172="","",IF(VALUE(Raw_Data!G172)&lt;=0,"Invalid",VALUE(Raw_Data!G172)))</f>
        <v/>
      </c>
      <c r="H172" s="17">
        <f>IF(Raw_Data!H172="","",IF(VALUE(Raw_Data!H172)&lt;=0,"Invalid",VALUE(Raw_Data!H172)))</f>
        <v>13</v>
      </c>
      <c r="I172" s="23">
        <f>IFERROR(VALUE(SUBSTITUTE(SUBSTITUTE(Raw_Data!I172,"₹",""),",","")),"")</f>
        <v>21978.55</v>
      </c>
      <c r="J172" s="17" t="str">
        <f>IF(TRIM(Raw_Data!J172)="","Not Specified",PROPER(TRIM(Raw_Data!J172)))</f>
        <v>Medium</v>
      </c>
      <c r="K172" s="17" t="str">
        <f>IF(TRIM(Raw_Data!K172)="","Not Specified",IFERROR(INDEX(Lookup_Tables!$E$6:$E$13,MATCH(TRIM(Raw_Data!K172),Lookup_Tables!$D$6:$D$13,0)),"Unknown - Review"))</f>
        <v>Approved</v>
      </c>
      <c r="L172" s="17" t="str">
        <f>IF(TRIM(Raw_Data!L172)="","",PROPER(TRIM(Raw_Data!L172)))</f>
        <v>Logistics Officer</v>
      </c>
      <c r="M172" s="22" t="str">
        <f>IF(Raw_Data!M172="","",IF(ISNUMBER(Raw_Data!M172),Raw_Data!M172,IF(ISNUMBER(SEARCH("/",Raw_Data!M172)),IFERROR(DATE(VALUE(RIGHT(Raw_Data!M172,4)),VALUE(MID(Raw_Data!M172,4,2)),VALUE(LEFT(Raw_Data!M172,2))),"Invalid Date"),IFERROR(DATEVALUE(Raw_Data!M172),"Invalid Date"))))</f>
        <v/>
      </c>
      <c r="N172" s="22">
        <f>IF(Raw_Data!N172="","",IF(ISNUMBER(Raw_Data!N172),Raw_Data!N172,IF(ISNUMBER(SEARCH("/",Raw_Data!N172)),IFERROR(DATE(VALUE(RIGHT(Raw_Data!N172,4)),VALUE(MID(Raw_Data!N172,4,2)),VALUE(LEFT(Raw_Data!N172,2))),"Invalid Date"),IFERROR(DATEVALUE(Raw_Data!N172),"Invalid Date"))))</f>
        <v>45752</v>
      </c>
      <c r="O172" s="22" t="str">
        <f>IF(Raw_Data!O172="","",IF(ISNUMBER(Raw_Data!O172),Raw_Data!O172,IF(ISNUMBER(SEARCH("/",Raw_Data!O172)),IFERROR(DATE(VALUE(RIGHT(Raw_Data!O172,4)),VALUE(MID(Raw_Data!O172,4,2)),VALUE(LEFT(Raw_Data!O172,2))),"Invalid Date"),IFERROR(DATEVALUE(Raw_Data!O172),"Invalid Date"))))</f>
        <v/>
      </c>
      <c r="P172" s="17" t="str">
        <f>IF(OR(TRIM(Raw_Data!P172)="",TRIM(Raw_Data!P172)="N/A",TRIM(Raw_Data!P172)="TBD",TRIM(Raw_Data!P172)="-"),"Not Assigned",PROPER(TRIM(Raw_Data!P172)))</f>
        <v>Sena Supply Co</v>
      </c>
      <c r="Q172" s="24">
        <f t="shared" si="12"/>
        <v>285721.14999999997</v>
      </c>
      <c r="R172" s="17" t="str">
        <f t="shared" si="13"/>
        <v/>
      </c>
      <c r="S172" s="17" t="str">
        <f>IF(COUNTIF($A$2:A172,A172)&gt;1,"Duplicate","Unique")</f>
        <v>Unique</v>
      </c>
      <c r="T172" s="17" t="str">
        <f t="shared" si="14"/>
        <v>Yes</v>
      </c>
      <c r="U172" s="17" t="str">
        <f t="shared" si="15"/>
        <v>No</v>
      </c>
      <c r="V172" s="17" t="str">
        <f t="shared" si="16"/>
        <v>No</v>
      </c>
      <c r="W172" s="17" t="str">
        <f t="shared" si="17"/>
        <v/>
      </c>
    </row>
    <row r="173" spans="1:23" x14ac:dyDescent="0.3">
      <c r="A173" s="17" t="str">
        <f>TRIM(Raw_Data!A173)</f>
        <v>REQ-2025-0172</v>
      </c>
      <c r="B173" s="22" t="str">
        <f>IF(Raw_Data!B173="","",IF(ISNUMBER(Raw_Data!B173),Raw_Data!B173,IF(ISNUMBER(SEARCH("/",Raw_Data!B173)),IFERROR(DATE(VALUE(RIGHT(Raw_Data!B173,4)),VALUE(MID(Raw_Data!B173,4,2)),VALUE(LEFT(Raw_Data!B173,2))),"Invalid Date"),IFERROR(DATEVALUE(Raw_Data!B173),"Invalid Date"))))</f>
        <v/>
      </c>
      <c r="C173" s="17" t="str">
        <f>IF(TRIM(Raw_Data!C173)="","",PROPER(TRIM(Raw_Data!C173)))</f>
        <v>Unit E - Medical Corps</v>
      </c>
      <c r="D173" s="17" t="str">
        <f>IF(TRIM(Raw_Data!D173)="","Not Specified",IFERROR(INDEX(Lookup_Tables!$H$6:$H$12,MATCH(TRIM(Raw_Data!D173),Lookup_Tables!$G$6:$G$12,0)),"Unknown - Review"))</f>
        <v>Central</v>
      </c>
      <c r="E173" s="17" t="str">
        <f>IF(TRIM(Raw_Data!E173)="","Not Specified",IFERROR(INDEX(Lookup_Tables!$B$6:$B$18,MATCH(TRIM(Raw_Data!E173),Lookup_Tables!$A$6:$A$18,0)),"Unknown - Review"))</f>
        <v>Tents &amp; Shelter</v>
      </c>
      <c r="F173" s="17" t="str">
        <f>IF(TRIM(Raw_Data!F173)="","",TRIM(Raw_Data!F173))</f>
        <v>Ground Sheet</v>
      </c>
      <c r="G173" s="17">
        <f>IF(Raw_Data!G173="","",IF(VALUE(Raw_Data!G173)&lt;=0,"Invalid",VALUE(Raw_Data!G173)))</f>
        <v>365</v>
      </c>
      <c r="H173" s="17" t="str">
        <f>IF(Raw_Data!H173="","",IF(VALUE(Raw_Data!H173)&lt;=0,"Invalid",VALUE(Raw_Data!H173)))</f>
        <v/>
      </c>
      <c r="I173" s="23">
        <f>IFERROR(VALUE(SUBSTITUTE(SUBSTITUTE(Raw_Data!I173,"₹",""),",","")),"")</f>
        <v>26175.05</v>
      </c>
      <c r="J173" s="17" t="str">
        <f>IF(TRIM(Raw_Data!J173)="","Not Specified",PROPER(TRIM(Raw_Data!J173)))</f>
        <v>High</v>
      </c>
      <c r="K173" s="17" t="str">
        <f>IF(TRIM(Raw_Data!K173)="","Not Specified",IFERROR(INDEX(Lookup_Tables!$E$6:$E$13,MATCH(TRIM(Raw_Data!K173),Lookup_Tables!$D$6:$D$13,0)),"Unknown - Review"))</f>
        <v>Pending</v>
      </c>
      <c r="L173" s="17" t="str">
        <f>IF(TRIM(Raw_Data!L173)="","",PROPER(TRIM(Raw_Data!L173)))</f>
        <v>Unit Commander</v>
      </c>
      <c r="M173" s="22" t="str">
        <f>IF(Raw_Data!M173="","",IF(ISNUMBER(Raw_Data!M173),Raw_Data!M173,IF(ISNUMBER(SEARCH("/",Raw_Data!M173)),IFERROR(DATE(VALUE(RIGHT(Raw_Data!M173,4)),VALUE(MID(Raw_Data!M173,4,2)),VALUE(LEFT(Raw_Data!M173,2))),"Invalid Date"),IFERROR(DATEVALUE(Raw_Data!M173),"Invalid Date"))))</f>
        <v/>
      </c>
      <c r="N173" s="22" t="str">
        <f>IF(Raw_Data!N173="","",IF(ISNUMBER(Raw_Data!N173),Raw_Data!N173,IF(ISNUMBER(SEARCH("/",Raw_Data!N173)),IFERROR(DATE(VALUE(RIGHT(Raw_Data!N173,4)),VALUE(MID(Raw_Data!N173,4,2)),VALUE(LEFT(Raw_Data!N173,2))),"Invalid Date"),IFERROR(DATEVALUE(Raw_Data!N173),"Invalid Date"))))</f>
        <v/>
      </c>
      <c r="O173" s="22" t="str">
        <f>IF(Raw_Data!O173="","",IF(ISNUMBER(Raw_Data!O173),Raw_Data!O173,IF(ISNUMBER(SEARCH("/",Raw_Data!O173)),IFERROR(DATE(VALUE(RIGHT(Raw_Data!O173,4)),VALUE(MID(Raw_Data!O173,4,2)),VALUE(LEFT(Raw_Data!O173,2))),"Invalid Date"),IFERROR(DATEVALUE(Raw_Data!O173),"Invalid Date"))))</f>
        <v/>
      </c>
      <c r="P173" s="17" t="str">
        <f>IF(OR(TRIM(Raw_Data!P173)="",TRIM(Raw_Data!P173)="N/A",TRIM(Raw_Data!P173)="TBD",TRIM(Raw_Data!P173)="-"),"Not Assigned",PROPER(TRIM(Raw_Data!P173)))</f>
        <v>Not Assigned</v>
      </c>
      <c r="Q173" s="24" t="str">
        <f t="shared" si="12"/>
        <v/>
      </c>
      <c r="R173" s="17" t="str">
        <f t="shared" si="13"/>
        <v/>
      </c>
      <c r="S173" s="17" t="str">
        <f>IF(COUNTIF($A$2:A173,A173)&gt;1,"Duplicate","Unique")</f>
        <v>Unique</v>
      </c>
      <c r="T173" s="17" t="str">
        <f t="shared" si="14"/>
        <v>No</v>
      </c>
      <c r="U173" s="17" t="str">
        <f t="shared" si="15"/>
        <v>No</v>
      </c>
      <c r="V173" s="17" t="str">
        <f t="shared" si="16"/>
        <v>Yes</v>
      </c>
      <c r="W173" s="17" t="str">
        <f t="shared" si="17"/>
        <v/>
      </c>
    </row>
    <row r="174" spans="1:23" x14ac:dyDescent="0.3">
      <c r="A174" s="17" t="str">
        <f>TRIM(Raw_Data!A174)</f>
        <v>REQ-2025-0173</v>
      </c>
      <c r="B174" s="22">
        <f>IF(Raw_Data!B174="","",IF(ISNUMBER(Raw_Data!B174),Raw_Data!B174,IF(ISNUMBER(SEARCH("/",Raw_Data!B174)),IFERROR(DATE(VALUE(RIGHT(Raw_Data!B174,4)),VALUE(MID(Raw_Data!B174,4,2)),VALUE(LEFT(Raw_Data!B174,2))),"Invalid Date"),IFERROR(DATEVALUE(Raw_Data!B174),"Invalid Date"))))</f>
        <v>45663</v>
      </c>
      <c r="C174" s="17" t="str">
        <f>IF(TRIM(Raw_Data!C174)="","",PROPER(TRIM(Raw_Data!C174)))</f>
        <v>Unit E - Medical Corps</v>
      </c>
      <c r="D174" s="17" t="str">
        <f>IF(TRIM(Raw_Data!D174)="","Not Specified",IFERROR(INDEX(Lookup_Tables!$H$6:$H$12,MATCH(TRIM(Raw_Data!D174),Lookup_Tables!$G$6:$G$12,0)),"Unknown - Review"))</f>
        <v>Central</v>
      </c>
      <c r="E174" s="17" t="str">
        <f>IF(TRIM(Raw_Data!E174)="","Not Specified",IFERROR(INDEX(Lookup_Tables!$B$6:$B$18,MATCH(TRIM(Raw_Data!E174),Lookup_Tables!$A$6:$A$18,0)),"Unknown - Review"))</f>
        <v>Fuel &amp; Lubricants</v>
      </c>
      <c r="F174" s="17" t="str">
        <f>IF(TRIM(Raw_Data!F174)="","",TRIM(Raw_Data!F174))</f>
        <v>Kerosene (Drum 200L)</v>
      </c>
      <c r="G174" s="17">
        <f>IF(Raw_Data!G174="","",IF(VALUE(Raw_Data!G174)&lt;=0,"Invalid",VALUE(Raw_Data!G174)))</f>
        <v>220</v>
      </c>
      <c r="H174" s="17">
        <f>IF(Raw_Data!H174="","",IF(VALUE(Raw_Data!H174)&lt;=0,"Invalid",VALUE(Raw_Data!H174)))</f>
        <v>173</v>
      </c>
      <c r="I174" s="23">
        <f>IFERROR(VALUE(SUBSTITUTE(SUBSTITUTE(Raw_Data!I174,"₹",""),",","")),"")</f>
        <v>7662.74</v>
      </c>
      <c r="J174" s="17" t="str">
        <f>IF(TRIM(Raw_Data!J174)="","Not Specified",PROPER(TRIM(Raw_Data!J174)))</f>
        <v>Routine</v>
      </c>
      <c r="K174" s="17" t="str">
        <f>IF(TRIM(Raw_Data!K174)="","Not Specified",IFERROR(INDEX(Lookup_Tables!$E$6:$E$13,MATCH(TRIM(Raw_Data!K174),Lookup_Tables!$D$6:$D$13,0)),"Unknown - Review"))</f>
        <v>Dispatched</v>
      </c>
      <c r="L174" s="17" t="str">
        <f>IF(TRIM(Raw_Data!L174)="","",PROPER(TRIM(Raw_Data!L174)))</f>
        <v>Stores Officer</v>
      </c>
      <c r="M174" s="22">
        <f>IF(Raw_Data!M174="","",IF(ISNUMBER(Raw_Data!M174),Raw_Data!M174,IF(ISNUMBER(SEARCH("/",Raw_Data!M174)),IFERROR(DATE(VALUE(RIGHT(Raw_Data!M174,4)),VALUE(MID(Raw_Data!M174,4,2)),VALUE(LEFT(Raw_Data!M174,2))),"Invalid Date"),IFERROR(DATEVALUE(Raw_Data!M174),"Invalid Date"))))</f>
        <v>45673</v>
      </c>
      <c r="N174" s="22" t="str">
        <f>IF(Raw_Data!N174="","",IF(ISNUMBER(Raw_Data!N174),Raw_Data!N174,IF(ISNUMBER(SEARCH("/",Raw_Data!N174)),IFERROR(DATE(VALUE(RIGHT(Raw_Data!N174,4)),VALUE(MID(Raw_Data!N174,4,2)),VALUE(LEFT(Raw_Data!N174,2))),"Invalid Date"),IFERROR(DATEVALUE(Raw_Data!N174),"Invalid Date"))))</f>
        <v/>
      </c>
      <c r="O174" s="22" t="str">
        <f>IF(Raw_Data!O174="","",IF(ISNUMBER(Raw_Data!O174),Raw_Data!O174,IF(ISNUMBER(SEARCH("/",Raw_Data!O174)),IFERROR(DATE(VALUE(RIGHT(Raw_Data!O174,4)),VALUE(MID(Raw_Data!O174,4,2)),VALUE(LEFT(Raw_Data!O174,2))),"Invalid Date"),IFERROR(DATEVALUE(Raw_Data!O174),"Invalid Date"))))</f>
        <v/>
      </c>
      <c r="P174" s="17" t="str">
        <f>IF(OR(TRIM(Raw_Data!P174)="",TRIM(Raw_Data!P174)="N/A",TRIM(Raw_Data!P174)="TBD",TRIM(Raw_Data!P174)="-"),"Not Assigned",PROPER(TRIM(Raw_Data!P174)))</f>
        <v>Shakti Traders</v>
      </c>
      <c r="Q174" s="24">
        <f t="shared" si="12"/>
        <v>1325654.02</v>
      </c>
      <c r="R174" s="17" t="str">
        <f t="shared" si="13"/>
        <v/>
      </c>
      <c r="S174" s="17" t="str">
        <f>IF(COUNTIF($A$2:A174,A174)&gt;1,"Duplicate","Unique")</f>
        <v>Unique</v>
      </c>
      <c r="T174" s="17" t="str">
        <f t="shared" si="14"/>
        <v>No</v>
      </c>
      <c r="U174" s="17" t="str">
        <f t="shared" si="15"/>
        <v>No</v>
      </c>
      <c r="V174" s="17" t="str">
        <f t="shared" si="16"/>
        <v>Yes</v>
      </c>
      <c r="W174" s="17" t="str">
        <f t="shared" si="17"/>
        <v>Jan-2025</v>
      </c>
    </row>
    <row r="175" spans="1:23" x14ac:dyDescent="0.3">
      <c r="A175" s="17" t="str">
        <f>TRIM(Raw_Data!A175)</f>
        <v>REQ-2025-0174</v>
      </c>
      <c r="B175" s="22">
        <f>IF(Raw_Data!B175="","",IF(ISNUMBER(Raw_Data!B175),Raw_Data!B175,IF(ISNUMBER(SEARCH("/",Raw_Data!B175)),IFERROR(DATE(VALUE(RIGHT(Raw_Data!B175,4)),VALUE(MID(Raw_Data!B175,4,2)),VALUE(LEFT(Raw_Data!B175,2))),"Invalid Date"),IFERROR(DATEVALUE(Raw_Data!B175),"Invalid Date"))))</f>
        <v>45735</v>
      </c>
      <c r="C175" s="17" t="str">
        <f>IF(TRIM(Raw_Data!C175)="","",PROPER(TRIM(Raw_Data!C175)))</f>
        <v>Unit A - Infantry</v>
      </c>
      <c r="D175" s="17" t="str">
        <f>IF(TRIM(Raw_Data!D175)="","Not Specified",IFERROR(INDEX(Lookup_Tables!$H$6:$H$12,MATCH(TRIM(Raw_Data!D175),Lookup_Tables!$G$6:$G$12,0)),"Unknown - Review"))</f>
        <v>Northern</v>
      </c>
      <c r="E175" s="17" t="str">
        <f>IF(TRIM(Raw_Data!E175)="","Not Specified",IFERROR(INDEX(Lookup_Tables!$B$6:$B$18,MATCH(TRIM(Raw_Data!E175),Lookup_Tables!$A$6:$A$18,0)),"Unknown - Review"))</f>
        <v>Uniforms &amp; Clothing</v>
      </c>
      <c r="F175" s="17" t="str">
        <f>IF(TRIM(Raw_Data!F175)="","",TRIM(Raw_Data!F175))</f>
        <v>Woolen Gloves</v>
      </c>
      <c r="G175" s="17">
        <f>IF(Raw_Data!G175="","",IF(VALUE(Raw_Data!G175)&lt;=0,"Invalid",VALUE(Raw_Data!G175)))</f>
        <v>138</v>
      </c>
      <c r="H175" s="17">
        <f>IF(Raw_Data!H175="","",IF(VALUE(Raw_Data!H175)&lt;=0,"Invalid",VALUE(Raw_Data!H175)))</f>
        <v>104</v>
      </c>
      <c r="I175" s="23">
        <f>IFERROR(VALUE(SUBSTITUTE(SUBSTITUTE(Raw_Data!I175,"₹",""),",","")),"")</f>
        <v>23803.39</v>
      </c>
      <c r="J175" s="17" t="str">
        <f>IF(TRIM(Raw_Data!J175)="","Not Specified",PROPER(TRIM(Raw_Data!J175)))</f>
        <v>Low</v>
      </c>
      <c r="K175" s="17" t="str">
        <f>IF(TRIM(Raw_Data!K175)="","Not Specified",IFERROR(INDEX(Lookup_Tables!$E$6:$E$13,MATCH(TRIM(Raw_Data!K175),Lookup_Tables!$D$6:$D$13,0)),"Unknown - Review"))</f>
        <v>Delivered</v>
      </c>
      <c r="L175" s="17" t="str">
        <f>IF(TRIM(Raw_Data!L175)="","",PROPER(TRIM(Raw_Data!L175)))</f>
        <v>Logistics Officer</v>
      </c>
      <c r="M175" s="22">
        <f>IF(Raw_Data!M175="","",IF(ISNUMBER(Raw_Data!M175),Raw_Data!M175,IF(ISNUMBER(SEARCH("/",Raw_Data!M175)),IFERROR(DATE(VALUE(RIGHT(Raw_Data!M175,4)),VALUE(MID(Raw_Data!M175,4,2)),VALUE(LEFT(Raw_Data!M175,2))),"Invalid Date"),IFERROR(DATEVALUE(Raw_Data!M175),"Invalid Date"))))</f>
        <v>45736</v>
      </c>
      <c r="N175" s="22" t="str">
        <f>IF(Raw_Data!N175="","",IF(ISNUMBER(Raw_Data!N175),Raw_Data!N175,IF(ISNUMBER(SEARCH("/",Raw_Data!N175)),IFERROR(DATE(VALUE(RIGHT(Raw_Data!N175,4)),VALUE(MID(Raw_Data!N175,4,2)),VALUE(LEFT(Raw_Data!N175,2))),"Invalid Date"),IFERROR(DATEVALUE(Raw_Data!N175),"Invalid Date"))))</f>
        <v/>
      </c>
      <c r="O175" s="22">
        <f>IF(Raw_Data!O175="","",IF(ISNUMBER(Raw_Data!O175),Raw_Data!O175,IF(ISNUMBER(SEARCH("/",Raw_Data!O175)),IFERROR(DATE(VALUE(RIGHT(Raw_Data!O175,4)),VALUE(MID(Raw_Data!O175,4,2)),VALUE(LEFT(Raw_Data!O175,2))),"Invalid Date"),IFERROR(DATEVALUE(Raw_Data!O175),"Invalid Date"))))</f>
        <v>45748</v>
      </c>
      <c r="P175" s="17" t="str">
        <f>IF(OR(TRIM(Raw_Data!P175)="",TRIM(Raw_Data!P175)="N/A",TRIM(Raw_Data!P175)="TBD",TRIM(Raw_Data!P175)="-"),"Not Assigned",PROPER(TRIM(Raw_Data!P175)))</f>
        <v>National Defence Stores</v>
      </c>
      <c r="Q175" s="24">
        <f t="shared" si="12"/>
        <v>2475552.56</v>
      </c>
      <c r="R175" s="17" t="str">
        <f t="shared" si="13"/>
        <v/>
      </c>
      <c r="S175" s="17" t="str">
        <f>IF(COUNTIF($A$2:A175,A175)&gt;1,"Duplicate","Unique")</f>
        <v>Unique</v>
      </c>
      <c r="T175" s="17" t="str">
        <f t="shared" si="14"/>
        <v>No</v>
      </c>
      <c r="U175" s="17" t="str">
        <f t="shared" si="15"/>
        <v>No</v>
      </c>
      <c r="V175" s="17" t="str">
        <f t="shared" si="16"/>
        <v>Yes</v>
      </c>
      <c r="W175" s="17" t="str">
        <f t="shared" si="17"/>
        <v>Mar-2025</v>
      </c>
    </row>
    <row r="176" spans="1:23" x14ac:dyDescent="0.3">
      <c r="A176" s="17" t="str">
        <f>TRIM(Raw_Data!A176)</f>
        <v>REQ-2025-0175</v>
      </c>
      <c r="B176" s="22">
        <f>IF(Raw_Data!B176="","",IF(ISNUMBER(Raw_Data!B176),Raw_Data!B176,IF(ISNUMBER(SEARCH("/",Raw_Data!B176)),IFERROR(DATE(VALUE(RIGHT(Raw_Data!B176,4)),VALUE(MID(Raw_Data!B176,4,2)),VALUE(LEFT(Raw_Data!B176,2))),"Invalid Date"),IFERROR(DATEVALUE(Raw_Data!B176),"Invalid Date"))))</f>
        <v>45792</v>
      </c>
      <c r="C176" s="17" t="str">
        <f>IF(TRIM(Raw_Data!C176)="","",PROPER(TRIM(Raw_Data!C176)))</f>
        <v>Unit D - Signals</v>
      </c>
      <c r="D176" s="17" t="str">
        <f>IF(TRIM(Raw_Data!D176)="","Not Specified",IFERROR(INDEX(Lookup_Tables!$H$6:$H$12,MATCH(TRIM(Raw_Data!D176),Lookup_Tables!$G$6:$G$12,0)),"Unknown - Review"))</f>
        <v>Western</v>
      </c>
      <c r="E176" s="17" t="str">
        <f>IF(TRIM(Raw_Data!E176)="","Not Specified",IFERROR(INDEX(Lookup_Tables!$B$6:$B$18,MATCH(TRIM(Raw_Data!E176),Lookup_Tables!$A$6:$A$18,0)),"Unknown - Review"))</f>
        <v>Construction Material</v>
      </c>
      <c r="F176" s="17" t="str">
        <f>IF(TRIM(Raw_Data!F176)="","",TRIM(Raw_Data!F176))</f>
        <v>Timber Plank Set</v>
      </c>
      <c r="G176" s="17">
        <f>IF(Raw_Data!G176="","",IF(VALUE(Raw_Data!G176)&lt;=0,"Invalid",VALUE(Raw_Data!G176)))</f>
        <v>152</v>
      </c>
      <c r="H176" s="17" t="str">
        <f>IF(Raw_Data!H176="","",IF(VALUE(Raw_Data!H176)&lt;=0,"Invalid",VALUE(Raw_Data!H176)))</f>
        <v/>
      </c>
      <c r="I176" s="23">
        <f>IFERROR(VALUE(SUBSTITUTE(SUBSTITUTE(Raw_Data!I176,"₹",""),",","")),"")</f>
        <v>20279.599999999999</v>
      </c>
      <c r="J176" s="17" t="str">
        <f>IF(TRIM(Raw_Data!J176)="","Not Specified",PROPER(TRIM(Raw_Data!J176)))</f>
        <v>Routine</v>
      </c>
      <c r="K176" s="17" t="str">
        <f>IF(TRIM(Raw_Data!K176)="","Not Specified",IFERROR(INDEX(Lookup_Tables!$E$6:$E$13,MATCH(TRIM(Raw_Data!K176),Lookup_Tables!$D$6:$D$13,0)),"Unknown - Review"))</f>
        <v>Pending</v>
      </c>
      <c r="L176" s="17" t="str">
        <f>IF(TRIM(Raw_Data!L176)="","",PROPER(TRIM(Raw_Data!L176)))</f>
        <v>Quartermaster</v>
      </c>
      <c r="M176" s="22" t="str">
        <f>IF(Raw_Data!M176="","",IF(ISNUMBER(Raw_Data!M176),Raw_Data!M176,IF(ISNUMBER(SEARCH("/",Raw_Data!M176)),IFERROR(DATE(VALUE(RIGHT(Raw_Data!M176,4)),VALUE(MID(Raw_Data!M176,4,2)),VALUE(LEFT(Raw_Data!M176,2))),"Invalid Date"),IFERROR(DATEVALUE(Raw_Data!M176),"Invalid Date"))))</f>
        <v/>
      </c>
      <c r="N176" s="22" t="str">
        <f>IF(Raw_Data!N176="","",IF(ISNUMBER(Raw_Data!N176),Raw_Data!N176,IF(ISNUMBER(SEARCH("/",Raw_Data!N176)),IFERROR(DATE(VALUE(RIGHT(Raw_Data!N176,4)),VALUE(MID(Raw_Data!N176,4,2)),VALUE(LEFT(Raw_Data!N176,2))),"Invalid Date"),IFERROR(DATEVALUE(Raw_Data!N176),"Invalid Date"))))</f>
        <v/>
      </c>
      <c r="O176" s="22" t="str">
        <f>IF(Raw_Data!O176="","",IF(ISNUMBER(Raw_Data!O176),Raw_Data!O176,IF(ISNUMBER(SEARCH("/",Raw_Data!O176)),IFERROR(DATE(VALUE(RIGHT(Raw_Data!O176,4)),VALUE(MID(Raw_Data!O176,4,2)),VALUE(LEFT(Raw_Data!O176,2))),"Invalid Date"),IFERROR(DATEVALUE(Raw_Data!O176),"Invalid Date"))))</f>
        <v/>
      </c>
      <c r="P176" s="17" t="str">
        <f>IF(OR(TRIM(Raw_Data!P176)="",TRIM(Raw_Data!P176)="N/A",TRIM(Raw_Data!P176)="TBD",TRIM(Raw_Data!P176)="-"),"Not Assigned",PROPER(TRIM(Raw_Data!P176)))</f>
        <v>Not Assigned</v>
      </c>
      <c r="Q176" s="24" t="str">
        <f t="shared" si="12"/>
        <v/>
      </c>
      <c r="R176" s="17" t="str">
        <f t="shared" si="13"/>
        <v/>
      </c>
      <c r="S176" s="17" t="str">
        <f>IF(COUNTIF($A$2:A176,A176)&gt;1,"Duplicate","Unique")</f>
        <v>Unique</v>
      </c>
      <c r="T176" s="17" t="str">
        <f t="shared" si="14"/>
        <v>No</v>
      </c>
      <c r="U176" s="17" t="str">
        <f t="shared" si="15"/>
        <v>No</v>
      </c>
      <c r="V176" s="17" t="str">
        <f t="shared" si="16"/>
        <v>Yes</v>
      </c>
      <c r="W176" s="17" t="str">
        <f t="shared" si="17"/>
        <v>May-2025</v>
      </c>
    </row>
    <row r="177" spans="1:23" x14ac:dyDescent="0.3">
      <c r="A177" s="17" t="str">
        <f>TRIM(Raw_Data!A177)</f>
        <v>REQ-2025-0176</v>
      </c>
      <c r="B177" s="22">
        <f>IF(Raw_Data!B177="","",IF(ISNUMBER(Raw_Data!B177),Raw_Data!B177,IF(ISNUMBER(SEARCH("/",Raw_Data!B177)),IFERROR(DATE(VALUE(RIGHT(Raw_Data!B177,4)),VALUE(MID(Raw_Data!B177,4,2)),VALUE(LEFT(Raw_Data!B177,2))),"Invalid Date"),IFERROR(DATEVALUE(Raw_Data!B177),"Invalid Date"))))</f>
        <v>45830</v>
      </c>
      <c r="C177" s="17" t="str">
        <f>IF(TRIM(Raw_Data!C177)="","",PROPER(TRIM(Raw_Data!C177)))</f>
        <v>Unit D - Signals</v>
      </c>
      <c r="D177" s="17" t="str">
        <f>IF(TRIM(Raw_Data!D177)="","Not Specified",IFERROR(INDEX(Lookup_Tables!$H$6:$H$12,MATCH(TRIM(Raw_Data!D177),Lookup_Tables!$G$6:$G$12,0)),"Unknown - Review"))</f>
        <v>Western</v>
      </c>
      <c r="E177" s="17" t="str">
        <f>IF(TRIM(Raw_Data!E177)="","Not Specified",IFERROR(INDEX(Lookup_Tables!$B$6:$B$18,MATCH(TRIM(Raw_Data!E177),Lookup_Tables!$A$6:$A$18,0)),"Unknown - Review"))</f>
        <v>Medical Supplies</v>
      </c>
      <c r="F177" s="17" t="str">
        <f>IF(TRIM(Raw_Data!F177)="","",TRIM(Raw_Data!F177))</f>
        <v>Stretcher</v>
      </c>
      <c r="G177" s="17" t="str">
        <f>IF(Raw_Data!G177="","",IF(VALUE(Raw_Data!G177)&lt;=0,"Invalid",VALUE(Raw_Data!G177)))</f>
        <v>Invalid</v>
      </c>
      <c r="H177" s="17">
        <f>IF(Raw_Data!H177="","",IF(VALUE(Raw_Data!H177)&lt;=0,"Invalid",VALUE(Raw_Data!H177)))</f>
        <v>319</v>
      </c>
      <c r="I177" s="23">
        <f>IFERROR(VALUE(SUBSTITUTE(SUBSTITUTE(Raw_Data!I177,"₹",""),",","")),"")</f>
        <v>18594.509999999998</v>
      </c>
      <c r="J177" s="17" t="str">
        <f>IF(TRIM(Raw_Data!J177)="","Not Specified",PROPER(TRIM(Raw_Data!J177)))</f>
        <v>Medium</v>
      </c>
      <c r="K177" s="17" t="str">
        <f>IF(TRIM(Raw_Data!K177)="","Not Specified",IFERROR(INDEX(Lookup_Tables!$E$6:$E$13,MATCH(TRIM(Raw_Data!K177),Lookup_Tables!$D$6:$D$13,0)),"Unknown - Review"))</f>
        <v>Delivered</v>
      </c>
      <c r="L177" s="17" t="str">
        <f>IF(TRIM(Raw_Data!L177)="","",PROPER(TRIM(Raw_Data!L177)))</f>
        <v>Stores Officer</v>
      </c>
      <c r="M177" s="22">
        <f>IF(Raw_Data!M177="","",IF(ISNUMBER(Raw_Data!M177),Raw_Data!M177,IF(ISNUMBER(SEARCH("/",Raw_Data!M177)),IFERROR(DATE(VALUE(RIGHT(Raw_Data!M177,4)),VALUE(MID(Raw_Data!M177,4,2)),VALUE(LEFT(Raw_Data!M177,2))),"Invalid Date"),IFERROR(DATEVALUE(Raw_Data!M177),"Invalid Date"))))</f>
        <v>45839</v>
      </c>
      <c r="N177" s="22">
        <f>IF(Raw_Data!N177="","",IF(ISNUMBER(Raw_Data!N177),Raw_Data!N177,IF(ISNUMBER(SEARCH("/",Raw_Data!N177)),IFERROR(DATE(VALUE(RIGHT(Raw_Data!N177,4)),VALUE(MID(Raw_Data!N177,4,2)),VALUE(LEFT(Raw_Data!N177,2))),"Invalid Date"),IFERROR(DATEVALUE(Raw_Data!N177),"Invalid Date"))))</f>
        <v>45847</v>
      </c>
      <c r="O177" s="22">
        <f>IF(Raw_Data!O177="","",IF(ISNUMBER(Raw_Data!O177),Raw_Data!O177,IF(ISNUMBER(SEARCH("/",Raw_Data!O177)),IFERROR(DATE(VALUE(RIGHT(Raw_Data!O177,4)),VALUE(MID(Raw_Data!O177,4,2)),VALUE(LEFT(Raw_Data!O177,2))),"Invalid Date"),IFERROR(DATEVALUE(Raw_Data!O177),"Invalid Date"))))</f>
        <v>45863</v>
      </c>
      <c r="P177" s="17" t="str">
        <f>IF(OR(TRIM(Raw_Data!P177)="",TRIM(Raw_Data!P177)="N/A",TRIM(Raw_Data!P177)="TBD",TRIM(Raw_Data!P177)="-"),"Not Assigned",PROPER(TRIM(Raw_Data!P177)))</f>
        <v>Central Ordnance Suppliers</v>
      </c>
      <c r="Q177" s="24">
        <f t="shared" si="12"/>
        <v>5931648.6899999995</v>
      </c>
      <c r="R177" s="17">
        <f t="shared" si="13"/>
        <v>16</v>
      </c>
      <c r="S177" s="17" t="str">
        <f>IF(COUNTIF($A$2:A177,A177)&gt;1,"Duplicate","Unique")</f>
        <v>Unique</v>
      </c>
      <c r="T177" s="17" t="str">
        <f t="shared" si="14"/>
        <v>No</v>
      </c>
      <c r="U177" s="17" t="str">
        <f t="shared" si="15"/>
        <v>No</v>
      </c>
      <c r="V177" s="17" t="str">
        <f t="shared" si="16"/>
        <v>No</v>
      </c>
      <c r="W177" s="17" t="str">
        <f t="shared" si="17"/>
        <v>Jun-2025</v>
      </c>
    </row>
    <row r="178" spans="1:23" x14ac:dyDescent="0.3">
      <c r="A178" s="17" t="str">
        <f>TRIM(Raw_Data!A178)</f>
        <v>REQ-2025-0177</v>
      </c>
      <c r="B178" s="22">
        <f>IF(Raw_Data!B178="","",IF(ISNUMBER(Raw_Data!B178),Raw_Data!B178,IF(ISNUMBER(SEARCH("/",Raw_Data!B178)),IFERROR(DATE(VALUE(RIGHT(Raw_Data!B178,4)),VALUE(MID(Raw_Data!B178,4,2)),VALUE(LEFT(Raw_Data!B178,2))),"Invalid Date"),IFERROR(DATEVALUE(Raw_Data!B178),"Invalid Date"))))</f>
        <v>45897</v>
      </c>
      <c r="C178" s="17" t="str">
        <f>IF(TRIM(Raw_Data!C178)="","",PROPER(TRIM(Raw_Data!C178)))</f>
        <v>Unit C - Engineers</v>
      </c>
      <c r="D178" s="17" t="str">
        <f>IF(TRIM(Raw_Data!D178)="","Not Specified",IFERROR(INDEX(Lookup_Tables!$H$6:$H$12,MATCH(TRIM(Raw_Data!D178),Lookup_Tables!$G$6:$G$12,0)),"Unknown - Review"))</f>
        <v>Southern</v>
      </c>
      <c r="E178" s="17" t="str">
        <f>IF(TRIM(Raw_Data!E178)="","Not Specified",IFERROR(INDEX(Lookup_Tables!$B$6:$B$18,MATCH(TRIM(Raw_Data!E178),Lookup_Tables!$A$6:$A$18,0)),"Unknown - Review"))</f>
        <v>Communication Equipment</v>
      </c>
      <c r="F178" s="17" t="str">
        <f>IF(TRIM(Raw_Data!F178)="","",TRIM(Raw_Data!F178))</f>
        <v>Battery Pack (Radio)</v>
      </c>
      <c r="G178" s="17">
        <f>IF(Raw_Data!G178="","",IF(VALUE(Raw_Data!G178)&lt;=0,"Invalid",VALUE(Raw_Data!G178)))</f>
        <v>477</v>
      </c>
      <c r="H178" s="17">
        <f>IF(Raw_Data!H178="","",IF(VALUE(Raw_Data!H178)&lt;=0,"Invalid",VALUE(Raw_Data!H178)))</f>
        <v>432</v>
      </c>
      <c r="I178" s="23">
        <f>IFERROR(VALUE(SUBSTITUTE(SUBSTITUTE(Raw_Data!I178,"₹",""),",","")),"")</f>
        <v>30091</v>
      </c>
      <c r="J178" s="17" t="str">
        <f>IF(TRIM(Raw_Data!J178)="","Not Specified",PROPER(TRIM(Raw_Data!J178)))</f>
        <v>High</v>
      </c>
      <c r="K178" s="17" t="str">
        <f>IF(TRIM(Raw_Data!K178)="","Not Specified",IFERROR(INDEX(Lookup_Tables!$E$6:$E$13,MATCH(TRIM(Raw_Data!K178),Lookup_Tables!$D$6:$D$13,0)),"Unknown - Review"))</f>
        <v>Delivered</v>
      </c>
      <c r="L178" s="17" t="str">
        <f>IF(TRIM(Raw_Data!L178)="","",PROPER(TRIM(Raw_Data!L178)))</f>
        <v>Unit Commander</v>
      </c>
      <c r="M178" s="22">
        <f>IF(Raw_Data!M178="","",IF(ISNUMBER(Raw_Data!M178),Raw_Data!M178,IF(ISNUMBER(SEARCH("/",Raw_Data!M178)),IFERROR(DATE(VALUE(RIGHT(Raw_Data!M178,4)),VALUE(MID(Raw_Data!M178,4,2)),VALUE(LEFT(Raw_Data!M178,2))),"Invalid Date"),IFERROR(DATEVALUE(Raw_Data!M178),"Invalid Date"))))</f>
        <v>45903</v>
      </c>
      <c r="N178" s="22">
        <f>IF(Raw_Data!N178="","",IF(ISNUMBER(Raw_Data!N178),Raw_Data!N178,IF(ISNUMBER(SEARCH("/",Raw_Data!N178)),IFERROR(DATE(VALUE(RIGHT(Raw_Data!N178,4)),VALUE(MID(Raw_Data!N178,4,2)),VALUE(LEFT(Raw_Data!N178,2))),"Invalid Date"),IFERROR(DATEVALUE(Raw_Data!N178),"Invalid Date"))))</f>
        <v>45916</v>
      </c>
      <c r="O178" s="22">
        <f>IF(Raw_Data!O178="","",IF(ISNUMBER(Raw_Data!O178),Raw_Data!O178,IF(ISNUMBER(SEARCH("/",Raw_Data!O178)),IFERROR(DATE(VALUE(RIGHT(Raw_Data!O178,4)),VALUE(MID(Raw_Data!O178,4,2)),VALUE(LEFT(Raw_Data!O178,2))),"Invalid Date"),IFERROR(DATEVALUE(Raw_Data!O178),"Invalid Date"))))</f>
        <v>45916</v>
      </c>
      <c r="P178" s="17" t="str">
        <f>IF(OR(TRIM(Raw_Data!P178)="",TRIM(Raw_Data!P178)="N/A",TRIM(Raw_Data!P178)="TBD",TRIM(Raw_Data!P178)="-"),"Not Assigned",PROPER(TRIM(Raw_Data!P178)))</f>
        <v>Not Assigned</v>
      </c>
      <c r="Q178" s="24">
        <f t="shared" si="12"/>
        <v>12999312</v>
      </c>
      <c r="R178" s="17">
        <f t="shared" si="13"/>
        <v>0</v>
      </c>
      <c r="S178" s="17" t="str">
        <f>IF(COUNTIF($A$2:A178,A178)&gt;1,"Duplicate","Unique")</f>
        <v>Unique</v>
      </c>
      <c r="T178" s="17" t="str">
        <f t="shared" si="14"/>
        <v>No</v>
      </c>
      <c r="U178" s="17" t="str">
        <f t="shared" si="15"/>
        <v>No</v>
      </c>
      <c r="V178" s="17" t="str">
        <f t="shared" si="16"/>
        <v>Yes</v>
      </c>
      <c r="W178" s="17" t="str">
        <f t="shared" si="17"/>
        <v>Aug-2025</v>
      </c>
    </row>
    <row r="179" spans="1:23" x14ac:dyDescent="0.3">
      <c r="A179" s="17" t="str">
        <f>TRIM(Raw_Data!A179)</f>
        <v>REQ-2025-0178</v>
      </c>
      <c r="B179" s="22">
        <f>IF(Raw_Data!B179="","",IF(ISNUMBER(Raw_Data!B179),Raw_Data!B179,IF(ISNUMBER(SEARCH("/",Raw_Data!B179)),IFERROR(DATE(VALUE(RIGHT(Raw_Data!B179,4)),VALUE(MID(Raw_Data!B179,4,2)),VALUE(LEFT(Raw_Data!B179,2))),"Invalid Date"),IFERROR(DATEVALUE(Raw_Data!B179),"Invalid Date"))))</f>
        <v>45950</v>
      </c>
      <c r="C179" s="17" t="str">
        <f>IF(TRIM(Raw_Data!C179)="","",PROPER(TRIM(Raw_Data!C179)))</f>
        <v>Unit E - Medical Corps</v>
      </c>
      <c r="D179" s="17" t="str">
        <f>IF(TRIM(Raw_Data!D179)="","Not Specified",IFERROR(INDEX(Lookup_Tables!$H$6:$H$12,MATCH(TRIM(Raw_Data!D179),Lookup_Tables!$G$6:$G$12,0)),"Unknown - Review"))</f>
        <v>Central</v>
      </c>
      <c r="E179" s="17" t="str">
        <f>IF(TRIM(Raw_Data!E179)="","Not Specified",IFERROR(INDEX(Lookup_Tables!$B$6:$B$18,MATCH(TRIM(Raw_Data!E179),Lookup_Tables!$A$6:$A$18,0)),"Unknown - Review"))</f>
        <v>Vehicle Spares</v>
      </c>
      <c r="F179" s="17" t="str">
        <f>IF(TRIM(Raw_Data!F179)="","",TRIM(Raw_Data!F179))</f>
        <v>Truck Tyre 900x20</v>
      </c>
      <c r="G179" s="17">
        <f>IF(Raw_Data!G179="","",IF(VALUE(Raw_Data!G179)&lt;=0,"Invalid",VALUE(Raw_Data!G179)))</f>
        <v>464</v>
      </c>
      <c r="H179" s="17">
        <f>IF(Raw_Data!H179="","",IF(VALUE(Raw_Data!H179)&lt;=0,"Invalid",VALUE(Raw_Data!H179)))</f>
        <v>324</v>
      </c>
      <c r="I179" s="23">
        <f>IFERROR(VALUE(SUBSTITUTE(SUBSTITUTE(Raw_Data!I179,"₹",""),",","")),"")</f>
        <v>1846.93</v>
      </c>
      <c r="J179" s="17" t="str">
        <f>IF(TRIM(Raw_Data!J179)="","Not Specified",PROPER(TRIM(Raw_Data!J179)))</f>
        <v>Routine</v>
      </c>
      <c r="K179" s="17" t="str">
        <f>IF(TRIM(Raw_Data!K179)="","Not Specified",IFERROR(INDEX(Lookup_Tables!$E$6:$E$13,MATCH(TRIM(Raw_Data!K179),Lookup_Tables!$D$6:$D$13,0)),"Unknown - Review"))</f>
        <v>Delivered</v>
      </c>
      <c r="L179" s="17" t="str">
        <f>IF(TRIM(Raw_Data!L179)="","",PROPER(TRIM(Raw_Data!L179)))</f>
        <v>Quartermaster</v>
      </c>
      <c r="M179" s="22">
        <f>IF(Raw_Data!M179="","",IF(ISNUMBER(Raw_Data!M179),Raw_Data!M179,IF(ISNUMBER(SEARCH("/",Raw_Data!M179)),IFERROR(DATE(VALUE(RIGHT(Raw_Data!M179,4)),VALUE(MID(Raw_Data!M179,4,2)),VALUE(LEFT(Raw_Data!M179,2))),"Invalid Date"),IFERROR(DATEVALUE(Raw_Data!M179),"Invalid Date"))))</f>
        <v>45957</v>
      </c>
      <c r="N179" s="22">
        <f>IF(Raw_Data!N179="","",IF(ISNUMBER(Raw_Data!N179),Raw_Data!N179,IF(ISNUMBER(SEARCH("/",Raw_Data!N179)),IFERROR(DATE(VALUE(RIGHT(Raw_Data!N179,4)),VALUE(MID(Raw_Data!N179,4,2)),VALUE(LEFT(Raw_Data!N179,2))),"Invalid Date"),IFERROR(DATEVALUE(Raw_Data!N179),"Invalid Date"))))</f>
        <v>45970</v>
      </c>
      <c r="O179" s="22">
        <f>IF(Raw_Data!O179="","",IF(ISNUMBER(Raw_Data!O179),Raw_Data!O179,IF(ISNUMBER(SEARCH("/",Raw_Data!O179)),IFERROR(DATE(VALUE(RIGHT(Raw_Data!O179,4)),VALUE(MID(Raw_Data!O179,4,2)),VALUE(LEFT(Raw_Data!O179,2))),"Invalid Date"),IFERROR(DATEVALUE(Raw_Data!O179),"Invalid Date"))))</f>
        <v>45969</v>
      </c>
      <c r="P179" s="17" t="str">
        <f>IF(OR(TRIM(Raw_Data!P179)="",TRIM(Raw_Data!P179)="N/A",TRIM(Raw_Data!P179)="TBD",TRIM(Raw_Data!P179)="-"),"Not Assigned",PROPER(TRIM(Raw_Data!P179)))</f>
        <v>Om Suppliers</v>
      </c>
      <c r="Q179" s="24">
        <f t="shared" si="12"/>
        <v>598405.32000000007</v>
      </c>
      <c r="R179" s="17">
        <f t="shared" si="13"/>
        <v>-1</v>
      </c>
      <c r="S179" s="17" t="str">
        <f>IF(COUNTIF($A$2:A179,A179)&gt;1,"Duplicate","Unique")</f>
        <v>Unique</v>
      </c>
      <c r="T179" s="17" t="str">
        <f t="shared" si="14"/>
        <v>No</v>
      </c>
      <c r="U179" s="17" t="str">
        <f t="shared" si="15"/>
        <v>No</v>
      </c>
      <c r="V179" s="17" t="str">
        <f t="shared" si="16"/>
        <v>Yes</v>
      </c>
      <c r="W179" s="17" t="str">
        <f t="shared" si="17"/>
        <v>Oct-2025</v>
      </c>
    </row>
    <row r="180" spans="1:23" x14ac:dyDescent="0.3">
      <c r="A180" s="17" t="str">
        <f>TRIM(Raw_Data!A180)</f>
        <v>REQ-2025-0179</v>
      </c>
      <c r="B180" s="22">
        <f>IF(Raw_Data!B180="","",IF(ISNUMBER(Raw_Data!B180),Raw_Data!B180,IF(ISNUMBER(SEARCH("/",Raw_Data!B180)),IFERROR(DATE(VALUE(RIGHT(Raw_Data!B180,4)),VALUE(MID(Raw_Data!B180,4,2)),VALUE(LEFT(Raw_Data!B180,2))),"Invalid Date"),IFERROR(DATEVALUE(Raw_Data!B180),"Invalid Date"))))</f>
        <v>45893</v>
      </c>
      <c r="C180" s="17" t="str">
        <f>IF(TRIM(Raw_Data!C180)="","",PROPER(TRIM(Raw_Data!C180)))</f>
        <v>Unit B - Artillery</v>
      </c>
      <c r="D180" s="17" t="str">
        <f>IF(TRIM(Raw_Data!D180)="","Not Specified",IFERROR(INDEX(Lookup_Tables!$H$6:$H$12,MATCH(TRIM(Raw_Data!D180),Lookup_Tables!$G$6:$G$12,0)),"Unknown - Review"))</f>
        <v>Southern</v>
      </c>
      <c r="E180" s="17" t="str">
        <f>IF(TRIM(Raw_Data!E180)="","Not Specified",IFERROR(INDEX(Lookup_Tables!$B$6:$B$18,MATCH(TRIM(Raw_Data!E180),Lookup_Tables!$A$6:$A$18,0)),"Unknown - Review"))</f>
        <v>Fuel &amp; Lubricants</v>
      </c>
      <c r="F180" s="17" t="str">
        <f>IF(TRIM(Raw_Data!F180)="","",TRIM(Raw_Data!F180))</f>
        <v>Diesel (Drum 200L)</v>
      </c>
      <c r="G180" s="17">
        <f>IF(Raw_Data!G180="","",IF(VALUE(Raw_Data!G180)&lt;=0,"Invalid",VALUE(Raw_Data!G180)))</f>
        <v>95</v>
      </c>
      <c r="H180" s="17">
        <f>IF(Raw_Data!H180="","",IF(VALUE(Raw_Data!H180)&lt;=0,"Invalid",VALUE(Raw_Data!H180)))</f>
        <v>85</v>
      </c>
      <c r="I180" s="23">
        <f>IFERROR(VALUE(SUBSTITUTE(SUBSTITUTE(Raw_Data!I180,"₹",""),",","")),"")</f>
        <v>13554.33</v>
      </c>
      <c r="J180" s="17" t="str">
        <f>IF(TRIM(Raw_Data!J180)="","Not Specified",PROPER(TRIM(Raw_Data!J180)))</f>
        <v>Low</v>
      </c>
      <c r="K180" s="17" t="str">
        <f>IF(TRIM(Raw_Data!K180)="","Not Specified",IFERROR(INDEX(Lookup_Tables!$E$6:$E$13,MATCH(TRIM(Raw_Data!K180),Lookup_Tables!$D$6:$D$13,0)),"Unknown - Review"))</f>
        <v>Delivered</v>
      </c>
      <c r="L180" s="17" t="str">
        <f>IF(TRIM(Raw_Data!L180)="","",PROPER(TRIM(Raw_Data!L180)))</f>
        <v>Logistics Officer</v>
      </c>
      <c r="M180" s="22">
        <f>IF(Raw_Data!M180="","",IF(ISNUMBER(Raw_Data!M180),Raw_Data!M180,IF(ISNUMBER(SEARCH("/",Raw_Data!M180)),IFERROR(DATE(VALUE(RIGHT(Raw_Data!M180,4)),VALUE(MID(Raw_Data!M180,4,2)),VALUE(LEFT(Raw_Data!M180,2))),"Invalid Date"),IFERROR(DATEVALUE(Raw_Data!M180),"Invalid Date"))))</f>
        <v>45900</v>
      </c>
      <c r="N180" s="22">
        <f>IF(Raw_Data!N180="","",IF(ISNUMBER(Raw_Data!N180),Raw_Data!N180,IF(ISNUMBER(SEARCH("/",Raw_Data!N180)),IFERROR(DATE(VALUE(RIGHT(Raw_Data!N180,4)),VALUE(MID(Raw_Data!N180,4,2)),VALUE(LEFT(Raw_Data!N180,2))),"Invalid Date"),IFERROR(DATEVALUE(Raw_Data!N180),"Invalid Date"))))</f>
        <v>45908</v>
      </c>
      <c r="O180" s="22" t="str">
        <f>IF(Raw_Data!O180="","",IF(ISNUMBER(Raw_Data!O180),Raw_Data!O180,IF(ISNUMBER(SEARCH("/",Raw_Data!O180)),IFERROR(DATE(VALUE(RIGHT(Raw_Data!O180,4)),VALUE(MID(Raw_Data!O180,4,2)),VALUE(LEFT(Raw_Data!O180,2))),"Invalid Date"),IFERROR(DATEVALUE(Raw_Data!O180),"Invalid Date"))))</f>
        <v/>
      </c>
      <c r="P180" s="17" t="str">
        <f>IF(OR(TRIM(Raw_Data!P180)="",TRIM(Raw_Data!P180)="N/A",TRIM(Raw_Data!P180)="TBD",TRIM(Raw_Data!P180)="-"),"Not Assigned",PROPER(TRIM(Raw_Data!P180)))</f>
        <v>Om Suppliers</v>
      </c>
      <c r="Q180" s="24">
        <f t="shared" si="12"/>
        <v>1152118.05</v>
      </c>
      <c r="R180" s="17" t="str">
        <f t="shared" si="13"/>
        <v/>
      </c>
      <c r="S180" s="17" t="str">
        <f>IF(COUNTIF($A$2:A180,A180)&gt;1,"Duplicate","Unique")</f>
        <v>Unique</v>
      </c>
      <c r="T180" s="17" t="str">
        <f t="shared" si="14"/>
        <v>No</v>
      </c>
      <c r="U180" s="17" t="str">
        <f t="shared" si="15"/>
        <v>No</v>
      </c>
      <c r="V180" s="17" t="str">
        <f t="shared" si="16"/>
        <v>Yes</v>
      </c>
      <c r="W180" s="17" t="str">
        <f t="shared" si="17"/>
        <v>Aug-2025</v>
      </c>
    </row>
    <row r="181" spans="1:23" x14ac:dyDescent="0.3">
      <c r="A181" s="17" t="str">
        <f>TRIM(Raw_Data!A181)</f>
        <v>REQ-2025-0180</v>
      </c>
      <c r="B181" s="22" t="str">
        <f>IF(Raw_Data!B181="","",IF(ISNUMBER(Raw_Data!B181),Raw_Data!B181,IF(ISNUMBER(SEARCH("/",Raw_Data!B181)),IFERROR(DATE(VALUE(RIGHT(Raw_Data!B181,4)),VALUE(MID(Raw_Data!B181,4,2)),VALUE(LEFT(Raw_Data!B181,2))),"Invalid Date"),IFERROR(DATEVALUE(Raw_Data!B181),"Invalid Date"))))</f>
        <v/>
      </c>
      <c r="C181" s="17" t="str">
        <f>IF(TRIM(Raw_Data!C181)="","",PROPER(TRIM(Raw_Data!C181)))</f>
        <v>Unit A - Infantry</v>
      </c>
      <c r="D181" s="17" t="str">
        <f>IF(TRIM(Raw_Data!D181)="","Not Specified",IFERROR(INDEX(Lookup_Tables!$H$6:$H$12,MATCH(TRIM(Raw_Data!D181),Lookup_Tables!$G$6:$G$12,0)),"Unknown - Review"))</f>
        <v>Northern</v>
      </c>
      <c r="E181" s="17" t="str">
        <f>IF(TRIM(Raw_Data!E181)="","Not Specified",IFERROR(INDEX(Lookup_Tables!$B$6:$B$18,MATCH(TRIM(Raw_Data!E181),Lookup_Tables!$A$6:$A$18,0)),"Unknown - Review"))</f>
        <v>Medical Supplies</v>
      </c>
      <c r="F181" s="17" t="str">
        <f>IF(TRIM(Raw_Data!F181)="","",TRIM(Raw_Data!F181))</f>
        <v>Stretcher</v>
      </c>
      <c r="G181" s="17" t="str">
        <f>IF(Raw_Data!G181="","",IF(VALUE(Raw_Data!G181)&lt;=0,"Invalid",VALUE(Raw_Data!G181)))</f>
        <v/>
      </c>
      <c r="H181" s="17">
        <f>IF(Raw_Data!H181="","",IF(VALUE(Raw_Data!H181)&lt;=0,"Invalid",VALUE(Raw_Data!H181)))</f>
        <v>404</v>
      </c>
      <c r="I181" s="23">
        <f>IFERROR(VALUE(SUBSTITUTE(SUBSTITUTE(Raw_Data!I181,"₹",""),",","")),"")</f>
        <v>1004.98</v>
      </c>
      <c r="J181" s="17" t="str">
        <f>IF(TRIM(Raw_Data!J181)="","Not Specified",PROPER(TRIM(Raw_Data!J181)))</f>
        <v>Medium</v>
      </c>
      <c r="K181" s="17" t="str">
        <f>IF(TRIM(Raw_Data!K181)="","Not Specified",IFERROR(INDEX(Lookup_Tables!$E$6:$E$13,MATCH(TRIM(Raw_Data!K181),Lookup_Tables!$D$6:$D$13,0)),"Unknown - Review"))</f>
        <v>Delivered</v>
      </c>
      <c r="L181" s="17" t="str">
        <f>IF(TRIM(Raw_Data!L181)="","",PROPER(TRIM(Raw_Data!L181)))</f>
        <v>Logistics Officer</v>
      </c>
      <c r="M181" s="22">
        <f>IF(Raw_Data!M181="","",IF(ISNUMBER(Raw_Data!M181),Raw_Data!M181,IF(ISNUMBER(SEARCH("/",Raw_Data!M181)),IFERROR(DATE(VALUE(RIGHT(Raw_Data!M181,4)),VALUE(MID(Raw_Data!M181,4,2)),VALUE(LEFT(Raw_Data!M181,2))),"Invalid Date"),IFERROR(DATEVALUE(Raw_Data!M181),"Invalid Date"))))</f>
        <v>45902</v>
      </c>
      <c r="N181" s="22">
        <f>IF(Raw_Data!N181="","",IF(ISNUMBER(Raw_Data!N181),Raw_Data!N181,IF(ISNUMBER(SEARCH("/",Raw_Data!N181)),IFERROR(DATE(VALUE(RIGHT(Raw_Data!N181,4)),VALUE(MID(Raw_Data!N181,4,2)),VALUE(LEFT(Raw_Data!N181,2))),"Invalid Date"),IFERROR(DATEVALUE(Raw_Data!N181),"Invalid Date"))))</f>
        <v>45908</v>
      </c>
      <c r="O181" s="22">
        <f>IF(Raw_Data!O181="","",IF(ISNUMBER(Raw_Data!O181),Raw_Data!O181,IF(ISNUMBER(SEARCH("/",Raw_Data!O181)),IFERROR(DATE(VALUE(RIGHT(Raw_Data!O181,4)),VALUE(MID(Raw_Data!O181,4,2)),VALUE(LEFT(Raw_Data!O181,2))),"Invalid Date"),IFERROR(DATEVALUE(Raw_Data!O181),"Invalid Date"))))</f>
        <v>45910</v>
      </c>
      <c r="P181" s="17" t="str">
        <f>IF(OR(TRIM(Raw_Data!P181)="",TRIM(Raw_Data!P181)="N/A",TRIM(Raw_Data!P181)="TBD",TRIM(Raw_Data!P181)="-"),"Not Assigned",PROPER(TRIM(Raw_Data!P181)))</f>
        <v>National Defence Stores</v>
      </c>
      <c r="Q181" s="24">
        <f t="shared" si="12"/>
        <v>406011.92</v>
      </c>
      <c r="R181" s="17">
        <f t="shared" si="13"/>
        <v>2</v>
      </c>
      <c r="S181" s="17" t="str">
        <f>IF(COUNTIF($A$2:A181,A181)&gt;1,"Duplicate","Unique")</f>
        <v>Unique</v>
      </c>
      <c r="T181" s="17" t="str">
        <f t="shared" si="14"/>
        <v>Yes</v>
      </c>
      <c r="U181" s="17" t="str">
        <f t="shared" si="15"/>
        <v>No</v>
      </c>
      <c r="V181" s="17" t="str">
        <f t="shared" si="16"/>
        <v>No</v>
      </c>
      <c r="W181" s="17" t="str">
        <f t="shared" si="17"/>
        <v/>
      </c>
    </row>
    <row r="182" spans="1:23" x14ac:dyDescent="0.3">
      <c r="A182" s="17" t="str">
        <f>TRIM(Raw_Data!A182)</f>
        <v>REQ-2025-0181</v>
      </c>
      <c r="B182" s="22">
        <f>IF(Raw_Data!B182="","",IF(ISNUMBER(Raw_Data!B182),Raw_Data!B182,IF(ISNUMBER(SEARCH("/",Raw_Data!B182)),IFERROR(DATE(VALUE(RIGHT(Raw_Data!B182,4)),VALUE(MID(Raw_Data!B182,4,2)),VALUE(LEFT(Raw_Data!B182,2))),"Invalid Date"),IFERROR(DATEVALUE(Raw_Data!B182),"Invalid Date"))))</f>
        <v>45822</v>
      </c>
      <c r="C182" s="17" t="str">
        <f>IF(TRIM(Raw_Data!C182)="","",PROPER(TRIM(Raw_Data!C182)))</f>
        <v>Unit B - Artillery</v>
      </c>
      <c r="D182" s="17" t="str">
        <f>IF(TRIM(Raw_Data!D182)="","Not Specified",IFERROR(INDEX(Lookup_Tables!$H$6:$H$12,MATCH(TRIM(Raw_Data!D182),Lookup_Tables!$G$6:$G$12,0)),"Unknown - Review"))</f>
        <v>Central</v>
      </c>
      <c r="E182" s="17" t="str">
        <f>IF(TRIM(Raw_Data!E182)="","Not Specified",IFERROR(INDEX(Lookup_Tables!$B$6:$B$18,MATCH(TRIM(Raw_Data!E182),Lookup_Tables!$A$6:$A$18,0)),"Unknown - Review"))</f>
        <v>Tents &amp; Shelter</v>
      </c>
      <c r="F182" s="17" t="str">
        <f>IF(TRIM(Raw_Data!F182)="","",TRIM(Raw_Data!F182))</f>
        <v>Tarpaulin Sheet</v>
      </c>
      <c r="G182" s="17">
        <f>IF(Raw_Data!G182="","",IF(VALUE(Raw_Data!G182)&lt;=0,"Invalid",VALUE(Raw_Data!G182)))</f>
        <v>308</v>
      </c>
      <c r="H182" s="17">
        <f>IF(Raw_Data!H182="","",IF(VALUE(Raw_Data!H182)&lt;=0,"Invalid",VALUE(Raw_Data!H182)))</f>
        <v>240</v>
      </c>
      <c r="I182" s="23">
        <f>IFERROR(VALUE(SUBSTITUTE(SUBSTITUTE(Raw_Data!I182,"₹",""),",","")),"")</f>
        <v>34126.120000000003</v>
      </c>
      <c r="J182" s="17" t="str">
        <f>IF(TRIM(Raw_Data!J182)="","Not Specified",PROPER(TRIM(Raw_Data!J182)))</f>
        <v>Not Specified</v>
      </c>
      <c r="K182" s="17" t="str">
        <f>IF(TRIM(Raw_Data!K182)="","Not Specified",IFERROR(INDEX(Lookup_Tables!$E$6:$E$13,MATCH(TRIM(Raw_Data!K182),Lookup_Tables!$D$6:$D$13,0)),"Unknown - Review"))</f>
        <v>Delivered</v>
      </c>
      <c r="L182" s="17" t="str">
        <f>IF(TRIM(Raw_Data!L182)="","",PROPER(TRIM(Raw_Data!L182)))</f>
        <v>Quartermaster</v>
      </c>
      <c r="M182" s="22">
        <f>IF(Raw_Data!M182="","",IF(ISNUMBER(Raw_Data!M182),Raw_Data!M182,IF(ISNUMBER(SEARCH("/",Raw_Data!M182)),IFERROR(DATE(VALUE(RIGHT(Raw_Data!M182,4)),VALUE(MID(Raw_Data!M182,4,2)),VALUE(LEFT(Raw_Data!M182,2))),"Invalid Date"),IFERROR(DATEVALUE(Raw_Data!M182),"Invalid Date"))))</f>
        <v>45825</v>
      </c>
      <c r="N182" s="22">
        <f>IF(Raw_Data!N182="","",IF(ISNUMBER(Raw_Data!N182),Raw_Data!N182,IF(ISNUMBER(SEARCH("/",Raw_Data!N182)),IFERROR(DATE(VALUE(RIGHT(Raw_Data!N182,4)),VALUE(MID(Raw_Data!N182,4,2)),VALUE(LEFT(Raw_Data!N182,2))),"Invalid Date"),IFERROR(DATEVALUE(Raw_Data!N182),"Invalid Date"))))</f>
        <v>45852</v>
      </c>
      <c r="O182" s="22">
        <f>IF(Raw_Data!O182="","",IF(ISNUMBER(Raw_Data!O182),Raw_Data!O182,IF(ISNUMBER(SEARCH("/",Raw_Data!O182)),IFERROR(DATE(VALUE(RIGHT(Raw_Data!O182,4)),VALUE(MID(Raw_Data!O182,4,2)),VALUE(LEFT(Raw_Data!O182,2))),"Invalid Date"),IFERROR(DATEVALUE(Raw_Data!O182),"Invalid Date"))))</f>
        <v>45858</v>
      </c>
      <c r="P182" s="17" t="str">
        <f>IF(OR(TRIM(Raw_Data!P182)="",TRIM(Raw_Data!P182)="N/A",TRIM(Raw_Data!P182)="TBD",TRIM(Raw_Data!P182)="-"),"Not Assigned",PROPER(TRIM(Raw_Data!P182)))</f>
        <v>National Defence Stores</v>
      </c>
      <c r="Q182" s="24">
        <f t="shared" si="12"/>
        <v>8190268.8000000007</v>
      </c>
      <c r="R182" s="17">
        <f t="shared" si="13"/>
        <v>6</v>
      </c>
      <c r="S182" s="17" t="str">
        <f>IF(COUNTIF($A$2:A182,A182)&gt;1,"Duplicate","Unique")</f>
        <v>Unique</v>
      </c>
      <c r="T182" s="17" t="str">
        <f t="shared" si="14"/>
        <v>No</v>
      </c>
      <c r="U182" s="17" t="str">
        <f t="shared" si="15"/>
        <v>No</v>
      </c>
      <c r="V182" s="17" t="str">
        <f t="shared" si="16"/>
        <v>Yes</v>
      </c>
      <c r="W182" s="17" t="str">
        <f t="shared" si="17"/>
        <v>Jun-2025</v>
      </c>
    </row>
    <row r="183" spans="1:23" x14ac:dyDescent="0.3">
      <c r="A183" s="17" t="str">
        <f>TRIM(Raw_Data!A183)</f>
        <v>REQ-2025-0182</v>
      </c>
      <c r="B183" s="22">
        <f>IF(Raw_Data!B183="","",IF(ISNUMBER(Raw_Data!B183),Raw_Data!B183,IF(ISNUMBER(SEARCH("/",Raw_Data!B183)),IFERROR(DATE(VALUE(RIGHT(Raw_Data!B183,4)),VALUE(MID(Raw_Data!B183,4,2)),VALUE(LEFT(Raw_Data!B183,2))),"Invalid Date"),IFERROR(DATEVALUE(Raw_Data!B183),"Invalid Date"))))</f>
        <v>45985</v>
      </c>
      <c r="C183" s="17" t="str">
        <f>IF(TRIM(Raw_Data!C183)="","",PROPER(TRIM(Raw_Data!C183)))</f>
        <v>Unit H - Air Defence</v>
      </c>
      <c r="D183" s="17" t="str">
        <f>IF(TRIM(Raw_Data!D183)="","Not Specified",IFERROR(INDEX(Lookup_Tables!$H$6:$H$12,MATCH(TRIM(Raw_Data!D183),Lookup_Tables!$G$6:$G$12,0)),"Unknown - Review"))</f>
        <v>Eastern</v>
      </c>
      <c r="E183" s="17" t="str">
        <f>IF(TRIM(Raw_Data!E183)="","Not Specified",IFERROR(INDEX(Lookup_Tables!$B$6:$B$18,MATCH(TRIM(Raw_Data!E183),Lookup_Tables!$A$6:$A$18,0)),"Unknown - Review"))</f>
        <v>Medical Supplies</v>
      </c>
      <c r="F183" s="17" t="str">
        <f>IF(TRIM(Raw_Data!F183)="","",TRIM(Raw_Data!F183))</f>
        <v>Surgical Gloves (Box)</v>
      </c>
      <c r="G183" s="17">
        <f>IF(Raw_Data!G183="","",IF(VALUE(Raw_Data!G183)&lt;=0,"Invalid",VALUE(Raw_Data!G183)))</f>
        <v>127</v>
      </c>
      <c r="H183" s="17">
        <f>IF(Raw_Data!H183="","",IF(VALUE(Raw_Data!H183)&lt;=0,"Invalid",VALUE(Raw_Data!H183)))</f>
        <v>90</v>
      </c>
      <c r="I183" s="23">
        <f>IFERROR(VALUE(SUBSTITUTE(SUBSTITUTE(Raw_Data!I183,"₹",""),",","")),"")</f>
        <v>8223.02</v>
      </c>
      <c r="J183" s="17" t="str">
        <f>IF(TRIM(Raw_Data!J183)="","Not Specified",PROPER(TRIM(Raw_Data!J183)))</f>
        <v>Routine</v>
      </c>
      <c r="K183" s="17" t="str">
        <f>IF(TRIM(Raw_Data!K183)="","Not Specified",IFERROR(INDEX(Lookup_Tables!$E$6:$E$13,MATCH(TRIM(Raw_Data!K183),Lookup_Tables!$D$6:$D$13,0)),"Unknown - Review"))</f>
        <v>Approved</v>
      </c>
      <c r="L183" s="17" t="str">
        <f>IF(TRIM(Raw_Data!L183)="","",PROPER(TRIM(Raw_Data!L183)))</f>
        <v>Unit Commander</v>
      </c>
      <c r="M183" s="22">
        <f>IF(Raw_Data!M183="","",IF(ISNUMBER(Raw_Data!M183),Raw_Data!M183,IF(ISNUMBER(SEARCH("/",Raw_Data!M183)),IFERROR(DATE(VALUE(RIGHT(Raw_Data!M183,4)),VALUE(MID(Raw_Data!M183,4,2)),VALUE(LEFT(Raw_Data!M183,2))),"Invalid Date"),IFERROR(DATEVALUE(Raw_Data!M183),"Invalid Date"))))</f>
        <v>45993</v>
      </c>
      <c r="N183" s="22">
        <f>IF(Raw_Data!N183="","",IF(ISNUMBER(Raw_Data!N183),Raw_Data!N183,IF(ISNUMBER(SEARCH("/",Raw_Data!N183)),IFERROR(DATE(VALUE(RIGHT(Raw_Data!N183,4)),VALUE(MID(Raw_Data!N183,4,2)),VALUE(LEFT(Raw_Data!N183,2))),"Invalid Date"),IFERROR(DATEVALUE(Raw_Data!N183),"Invalid Date"))))</f>
        <v>46017</v>
      </c>
      <c r="O183" s="22" t="str">
        <f>IF(Raw_Data!O183="","",IF(ISNUMBER(Raw_Data!O183),Raw_Data!O183,IF(ISNUMBER(SEARCH("/",Raw_Data!O183)),IFERROR(DATE(VALUE(RIGHT(Raw_Data!O183,4)),VALUE(MID(Raw_Data!O183,4,2)),VALUE(LEFT(Raw_Data!O183,2))),"Invalid Date"),IFERROR(DATEVALUE(Raw_Data!O183),"Invalid Date"))))</f>
        <v/>
      </c>
      <c r="P183" s="17" t="str">
        <f>IF(OR(TRIM(Raw_Data!P183)="",TRIM(Raw_Data!P183)="N/A",TRIM(Raw_Data!P183)="TBD",TRIM(Raw_Data!P183)="-"),"Not Assigned",PROPER(TRIM(Raw_Data!P183)))</f>
        <v>Sena Supply Co</v>
      </c>
      <c r="Q183" s="24">
        <f t="shared" si="12"/>
        <v>740071.8</v>
      </c>
      <c r="R183" s="17" t="str">
        <f t="shared" si="13"/>
        <v/>
      </c>
      <c r="S183" s="17" t="str">
        <f>IF(COUNTIF($A$2:A183,A183)&gt;1,"Duplicate","Unique")</f>
        <v>Unique</v>
      </c>
      <c r="T183" s="17" t="str">
        <f t="shared" si="14"/>
        <v>No</v>
      </c>
      <c r="U183" s="17" t="str">
        <f t="shared" si="15"/>
        <v>No</v>
      </c>
      <c r="V183" s="17" t="str">
        <f t="shared" si="16"/>
        <v>Yes</v>
      </c>
      <c r="W183" s="17" t="str">
        <f t="shared" si="17"/>
        <v>Nov-2025</v>
      </c>
    </row>
    <row r="184" spans="1:23" x14ac:dyDescent="0.3">
      <c r="A184" s="17" t="str">
        <f>TRIM(Raw_Data!A184)</f>
        <v>REQ-2025-0183</v>
      </c>
      <c r="B184" s="22">
        <f>IF(Raw_Data!B184="","",IF(ISNUMBER(Raw_Data!B184),Raw_Data!B184,IF(ISNUMBER(SEARCH("/",Raw_Data!B184)),IFERROR(DATE(VALUE(RIGHT(Raw_Data!B184,4)),VALUE(MID(Raw_Data!B184,4,2)),VALUE(LEFT(Raw_Data!B184,2))),"Invalid Date"),IFERROR(DATEVALUE(Raw_Data!B184),"Invalid Date"))))</f>
        <v>45685</v>
      </c>
      <c r="C184" s="17" t="str">
        <f>IF(TRIM(Raw_Data!C184)="","",PROPER(TRIM(Raw_Data!C184)))</f>
        <v>Unit H - Air Defence</v>
      </c>
      <c r="D184" s="17" t="str">
        <f>IF(TRIM(Raw_Data!D184)="","Not Specified",IFERROR(INDEX(Lookup_Tables!$H$6:$H$12,MATCH(TRIM(Raw_Data!D184),Lookup_Tables!$G$6:$G$12,0)),"Unknown - Review"))</f>
        <v>Eastern</v>
      </c>
      <c r="E184" s="17" t="str">
        <f>IF(TRIM(Raw_Data!E184)="","Not Specified",IFERROR(INDEX(Lookup_Tables!$B$6:$B$18,MATCH(TRIM(Raw_Data!E184),Lookup_Tables!$A$6:$A$18,0)),"Unknown - Review"))</f>
        <v>Uniforms &amp; Clothing</v>
      </c>
      <c r="F184" s="17" t="str">
        <f>IF(TRIM(Raw_Data!F184)="","",TRIM(Raw_Data!F184))</f>
        <v>Combat Uniform Set</v>
      </c>
      <c r="G184" s="17">
        <f>IF(Raw_Data!G184="","",IF(VALUE(Raw_Data!G184)&lt;=0,"Invalid",VALUE(Raw_Data!G184)))</f>
        <v>227</v>
      </c>
      <c r="H184" s="17">
        <f>IF(Raw_Data!H184="","",IF(VALUE(Raw_Data!H184)&lt;=0,"Invalid",VALUE(Raw_Data!H184)))</f>
        <v>219</v>
      </c>
      <c r="I184" s="23">
        <f>IFERROR(VALUE(SUBSTITUTE(SUBSTITUTE(Raw_Data!I184,"₹",""),",","")),"")</f>
        <v>20473.669999999998</v>
      </c>
      <c r="J184" s="17" t="str">
        <f>IF(TRIM(Raw_Data!J184)="","Not Specified",PROPER(TRIM(Raw_Data!J184)))</f>
        <v>Low</v>
      </c>
      <c r="K184" s="17" t="str">
        <f>IF(TRIM(Raw_Data!K184)="","Not Specified",IFERROR(INDEX(Lookup_Tables!$E$6:$E$13,MATCH(TRIM(Raw_Data!K184),Lookup_Tables!$D$6:$D$13,0)),"Unknown - Review"))</f>
        <v>Dispatched</v>
      </c>
      <c r="L184" s="17" t="str">
        <f>IF(TRIM(Raw_Data!L184)="","",PROPER(TRIM(Raw_Data!L184)))</f>
        <v>Logistics Officer</v>
      </c>
      <c r="M184" s="22">
        <f>IF(Raw_Data!M184="","",IF(ISNUMBER(Raw_Data!M184),Raw_Data!M184,IF(ISNUMBER(SEARCH("/",Raw_Data!M184)),IFERROR(DATE(VALUE(RIGHT(Raw_Data!M184,4)),VALUE(MID(Raw_Data!M184,4,2)),VALUE(LEFT(Raw_Data!M184,2))),"Invalid Date"),IFERROR(DATEVALUE(Raw_Data!M184),"Invalid Date"))))</f>
        <v>45687</v>
      </c>
      <c r="N184" s="22" t="str">
        <f>IF(Raw_Data!N184="","",IF(ISNUMBER(Raw_Data!N184),Raw_Data!N184,IF(ISNUMBER(SEARCH("/",Raw_Data!N184)),IFERROR(DATE(VALUE(RIGHT(Raw_Data!N184,4)),VALUE(MID(Raw_Data!N184,4,2)),VALUE(LEFT(Raw_Data!N184,2))),"Invalid Date"),IFERROR(DATEVALUE(Raw_Data!N184),"Invalid Date"))))</f>
        <v/>
      </c>
      <c r="O184" s="22" t="str">
        <f>IF(Raw_Data!O184="","",IF(ISNUMBER(Raw_Data!O184),Raw_Data!O184,IF(ISNUMBER(SEARCH("/",Raw_Data!O184)),IFERROR(DATE(VALUE(RIGHT(Raw_Data!O184,4)),VALUE(MID(Raw_Data!O184,4,2)),VALUE(LEFT(Raw_Data!O184,2))),"Invalid Date"),IFERROR(DATEVALUE(Raw_Data!O184),"Invalid Date"))))</f>
        <v/>
      </c>
      <c r="P184" s="17" t="str">
        <f>IF(OR(TRIM(Raw_Data!P184)="",TRIM(Raw_Data!P184)="N/A",TRIM(Raw_Data!P184)="TBD",TRIM(Raw_Data!P184)="-"),"Not Assigned",PROPER(TRIM(Raw_Data!P184)))</f>
        <v>Bharat Logistics Pvt Ltd</v>
      </c>
      <c r="Q184" s="24">
        <f t="shared" si="12"/>
        <v>4483733.7299999995</v>
      </c>
      <c r="R184" s="17" t="str">
        <f t="shared" si="13"/>
        <v/>
      </c>
      <c r="S184" s="17" t="str">
        <f>IF(COUNTIF($A$2:A184,A184)&gt;1,"Duplicate","Unique")</f>
        <v>Unique</v>
      </c>
      <c r="T184" s="17" t="str">
        <f t="shared" si="14"/>
        <v>No</v>
      </c>
      <c r="U184" s="17" t="str">
        <f t="shared" si="15"/>
        <v>No</v>
      </c>
      <c r="V184" s="17" t="str">
        <f t="shared" si="16"/>
        <v>Yes</v>
      </c>
      <c r="W184" s="17" t="str">
        <f t="shared" si="17"/>
        <v>Jan-2025</v>
      </c>
    </row>
    <row r="185" spans="1:23" x14ac:dyDescent="0.3">
      <c r="A185" s="17" t="str">
        <f>TRIM(Raw_Data!A185)</f>
        <v>REQ-2025-0184</v>
      </c>
      <c r="B185" s="22">
        <f>IF(Raw_Data!B185="","",IF(ISNUMBER(Raw_Data!B185),Raw_Data!B185,IF(ISNUMBER(SEARCH("/",Raw_Data!B185)),IFERROR(DATE(VALUE(RIGHT(Raw_Data!B185,4)),VALUE(MID(Raw_Data!B185,4,2)),VALUE(LEFT(Raw_Data!B185,2))),"Invalid Date"),IFERROR(DATEVALUE(Raw_Data!B185),"Invalid Date"))))</f>
        <v>45906</v>
      </c>
      <c r="C185" s="17" t="str">
        <f>IF(TRIM(Raw_Data!C185)="","",PROPER(TRIM(Raw_Data!C185)))</f>
        <v>Unit G - Transport Corps</v>
      </c>
      <c r="D185" s="17" t="str">
        <f>IF(TRIM(Raw_Data!D185)="","Not Specified",IFERROR(INDEX(Lookup_Tables!$H$6:$H$12,MATCH(TRIM(Raw_Data!D185),Lookup_Tables!$G$6:$G$12,0)),"Unknown - Review"))</f>
        <v>Northern</v>
      </c>
      <c r="E185" s="17" t="str">
        <f>IF(TRIM(Raw_Data!E185)="","Not Specified",IFERROR(INDEX(Lookup_Tables!$B$6:$B$18,MATCH(TRIM(Raw_Data!E185),Lookup_Tables!$A$6:$A$18,0)),"Unknown - Review"))</f>
        <v>Office &amp; IT Equipment</v>
      </c>
      <c r="F185" s="17" t="str">
        <f>IF(TRIM(Raw_Data!F185)="","",TRIM(Raw_Data!F185))</f>
        <v>UPS Backup Unit</v>
      </c>
      <c r="G185" s="17">
        <f>IF(Raw_Data!G185="","",IF(VALUE(Raw_Data!G185)&lt;=0,"Invalid",VALUE(Raw_Data!G185)))</f>
        <v>115</v>
      </c>
      <c r="H185" s="17" t="str">
        <f>IF(Raw_Data!H185="","",IF(VALUE(Raw_Data!H185)&lt;=0,"Invalid",VALUE(Raw_Data!H185)))</f>
        <v/>
      </c>
      <c r="I185" s="23">
        <f>IFERROR(VALUE(SUBSTITUTE(SUBSTITUTE(Raw_Data!I185,"₹",""),",","")),"")</f>
        <v>20556.34</v>
      </c>
      <c r="J185" s="17" t="str">
        <f>IF(TRIM(Raw_Data!J185)="","Not Specified",PROPER(TRIM(Raw_Data!J185)))</f>
        <v>Routine</v>
      </c>
      <c r="K185" s="17" t="str">
        <f>IF(TRIM(Raw_Data!K185)="","Not Specified",IFERROR(INDEX(Lookup_Tables!$E$6:$E$13,MATCH(TRIM(Raw_Data!K185),Lookup_Tables!$D$6:$D$13,0)),"Unknown - Review"))</f>
        <v>Pending</v>
      </c>
      <c r="L185" s="17" t="str">
        <f>IF(TRIM(Raw_Data!L185)="","",PROPER(TRIM(Raw_Data!L185)))</f>
        <v>Logistics Officer</v>
      </c>
      <c r="M185" s="22" t="str">
        <f>IF(Raw_Data!M185="","",IF(ISNUMBER(Raw_Data!M185),Raw_Data!M185,IF(ISNUMBER(SEARCH("/",Raw_Data!M185)),IFERROR(DATE(VALUE(RIGHT(Raw_Data!M185,4)),VALUE(MID(Raw_Data!M185,4,2)),VALUE(LEFT(Raw_Data!M185,2))),"Invalid Date"),IFERROR(DATEVALUE(Raw_Data!M185),"Invalid Date"))))</f>
        <v/>
      </c>
      <c r="N185" s="22" t="str">
        <f>IF(Raw_Data!N185="","",IF(ISNUMBER(Raw_Data!N185),Raw_Data!N185,IF(ISNUMBER(SEARCH("/",Raw_Data!N185)),IFERROR(DATE(VALUE(RIGHT(Raw_Data!N185,4)),VALUE(MID(Raw_Data!N185,4,2)),VALUE(LEFT(Raw_Data!N185,2))),"Invalid Date"),IFERROR(DATEVALUE(Raw_Data!N185),"Invalid Date"))))</f>
        <v/>
      </c>
      <c r="O185" s="22" t="str">
        <f>IF(Raw_Data!O185="","",IF(ISNUMBER(Raw_Data!O185),Raw_Data!O185,IF(ISNUMBER(SEARCH("/",Raw_Data!O185)),IFERROR(DATE(VALUE(RIGHT(Raw_Data!O185,4)),VALUE(MID(Raw_Data!O185,4,2)),VALUE(LEFT(Raw_Data!O185,2))),"Invalid Date"),IFERROR(DATEVALUE(Raw_Data!O185),"Invalid Date"))))</f>
        <v/>
      </c>
      <c r="P185" s="17" t="str">
        <f>IF(OR(TRIM(Raw_Data!P185)="",TRIM(Raw_Data!P185)="N/A",TRIM(Raw_Data!P185)="TBD",TRIM(Raw_Data!P185)="-"),"Not Assigned",PROPER(TRIM(Raw_Data!P185)))</f>
        <v>National Defence Stores</v>
      </c>
      <c r="Q185" s="24" t="str">
        <f t="shared" si="12"/>
        <v/>
      </c>
      <c r="R185" s="17" t="str">
        <f t="shared" si="13"/>
        <v/>
      </c>
      <c r="S185" s="17" t="str">
        <f>IF(COUNTIF($A$2:A185,A185)&gt;1,"Duplicate","Unique")</f>
        <v>Unique</v>
      </c>
      <c r="T185" s="17" t="str">
        <f t="shared" si="14"/>
        <v>No</v>
      </c>
      <c r="U185" s="17" t="str">
        <f t="shared" si="15"/>
        <v>No</v>
      </c>
      <c r="V185" s="17" t="str">
        <f t="shared" si="16"/>
        <v>Yes</v>
      </c>
      <c r="W185" s="17" t="str">
        <f t="shared" si="17"/>
        <v>Sep-2025</v>
      </c>
    </row>
    <row r="186" spans="1:23" x14ac:dyDescent="0.3">
      <c r="A186" s="17" t="str">
        <f>TRIM(Raw_Data!A186)</f>
        <v>REQ-2025-0185</v>
      </c>
      <c r="B186" s="22">
        <f>IF(Raw_Data!B186="","",IF(ISNUMBER(Raw_Data!B186),Raw_Data!B186,IF(ISNUMBER(SEARCH("/",Raw_Data!B186)),IFERROR(DATE(VALUE(RIGHT(Raw_Data!B186,4)),VALUE(MID(Raw_Data!B186,4,2)),VALUE(LEFT(Raw_Data!B186,2))),"Invalid Date"),IFERROR(DATEVALUE(Raw_Data!B186),"Invalid Date"))))</f>
        <v>45702</v>
      </c>
      <c r="C186" s="17" t="str">
        <f>IF(TRIM(Raw_Data!C186)="","",PROPER(TRIM(Raw_Data!C186)))</f>
        <v>Unit C - Engineers</v>
      </c>
      <c r="D186" s="17" t="str">
        <f>IF(TRIM(Raw_Data!D186)="","Not Specified",IFERROR(INDEX(Lookup_Tables!$H$6:$H$12,MATCH(TRIM(Raw_Data!D186),Lookup_Tables!$G$6:$G$12,0)),"Unknown - Review"))</f>
        <v>Eastern</v>
      </c>
      <c r="E186" s="17" t="str">
        <f>IF(TRIM(Raw_Data!E186)="","Not Specified",IFERROR(INDEX(Lookup_Tables!$B$6:$B$18,MATCH(TRIM(Raw_Data!E186),Lookup_Tables!$A$6:$A$18,0)),"Unknown - Review"))</f>
        <v>Tents &amp; Shelter</v>
      </c>
      <c r="F186" s="17" t="str">
        <f>IF(TRIM(Raw_Data!F186)="","",TRIM(Raw_Data!F186))</f>
        <v>Tarpaulin Sheet</v>
      </c>
      <c r="G186" s="17">
        <f>IF(Raw_Data!G186="","",IF(VALUE(Raw_Data!G186)&lt;=0,"Invalid",VALUE(Raw_Data!G186)))</f>
        <v>307</v>
      </c>
      <c r="H186" s="17" t="str">
        <f>IF(Raw_Data!H186="","",IF(VALUE(Raw_Data!H186)&lt;=0,"Invalid",VALUE(Raw_Data!H186)))</f>
        <v/>
      </c>
      <c r="I186" s="23">
        <f>IFERROR(VALUE(SUBSTITUTE(SUBSTITUTE(Raw_Data!I186,"₹",""),",","")),"")</f>
        <v>800</v>
      </c>
      <c r="J186" s="17" t="str">
        <f>IF(TRIM(Raw_Data!J186)="","Not Specified",PROPER(TRIM(Raw_Data!J186)))</f>
        <v>Routine</v>
      </c>
      <c r="K186" s="17" t="str">
        <f>IF(TRIM(Raw_Data!K186)="","Not Specified",IFERROR(INDEX(Lookup_Tables!$E$6:$E$13,MATCH(TRIM(Raw_Data!K186),Lookup_Tables!$D$6:$D$13,0)),"Unknown - Review"))</f>
        <v>Rejected</v>
      </c>
      <c r="L186" s="17" t="str">
        <f>IF(TRIM(Raw_Data!L186)="","",PROPER(TRIM(Raw_Data!L186)))</f>
        <v>Logistics Officer</v>
      </c>
      <c r="M186" s="22" t="str">
        <f>IF(Raw_Data!M186="","",IF(ISNUMBER(Raw_Data!M186),Raw_Data!M186,IF(ISNUMBER(SEARCH("/",Raw_Data!M186)),IFERROR(DATE(VALUE(RIGHT(Raw_Data!M186,4)),VALUE(MID(Raw_Data!M186,4,2)),VALUE(LEFT(Raw_Data!M186,2))),"Invalid Date"),IFERROR(DATEVALUE(Raw_Data!M186),"Invalid Date"))))</f>
        <v/>
      </c>
      <c r="N186" s="22" t="str">
        <f>IF(Raw_Data!N186="","",IF(ISNUMBER(Raw_Data!N186),Raw_Data!N186,IF(ISNUMBER(SEARCH("/",Raw_Data!N186)),IFERROR(DATE(VALUE(RIGHT(Raw_Data!N186,4)),VALUE(MID(Raw_Data!N186,4,2)),VALUE(LEFT(Raw_Data!N186,2))),"Invalid Date"),IFERROR(DATEVALUE(Raw_Data!N186),"Invalid Date"))))</f>
        <v/>
      </c>
      <c r="O186" s="22" t="str">
        <f>IF(Raw_Data!O186="","",IF(ISNUMBER(Raw_Data!O186),Raw_Data!O186,IF(ISNUMBER(SEARCH("/",Raw_Data!O186)),IFERROR(DATE(VALUE(RIGHT(Raw_Data!O186,4)),VALUE(MID(Raw_Data!O186,4,2)),VALUE(LEFT(Raw_Data!O186,2))),"Invalid Date"),IFERROR(DATEVALUE(Raw_Data!O186),"Invalid Date"))))</f>
        <v/>
      </c>
      <c r="P186" s="17" t="str">
        <f>IF(OR(TRIM(Raw_Data!P186)="",TRIM(Raw_Data!P186)="N/A",TRIM(Raw_Data!P186)="TBD",TRIM(Raw_Data!P186)="-"),"Not Assigned",PROPER(TRIM(Raw_Data!P186)))</f>
        <v>Rapid Vendors Ltd</v>
      </c>
      <c r="Q186" s="24" t="str">
        <f t="shared" si="12"/>
        <v/>
      </c>
      <c r="R186" s="17" t="str">
        <f t="shared" si="13"/>
        <v/>
      </c>
      <c r="S186" s="17" t="str">
        <f>IF(COUNTIF($A$2:A186,A186)&gt;1,"Duplicate","Unique")</f>
        <v>Unique</v>
      </c>
      <c r="T186" s="17" t="str">
        <f t="shared" si="14"/>
        <v>No</v>
      </c>
      <c r="U186" s="17" t="str">
        <f t="shared" si="15"/>
        <v>No</v>
      </c>
      <c r="V186" s="17" t="str">
        <f t="shared" si="16"/>
        <v>Yes</v>
      </c>
      <c r="W186" s="17" t="str">
        <f t="shared" si="17"/>
        <v>Feb-2025</v>
      </c>
    </row>
    <row r="187" spans="1:23" x14ac:dyDescent="0.3">
      <c r="A187" s="17" t="str">
        <f>TRIM(Raw_Data!A187)</f>
        <v>REQ-2025-0186</v>
      </c>
      <c r="B187" s="22">
        <f>IF(Raw_Data!B187="","",IF(ISNUMBER(Raw_Data!B187),Raw_Data!B187,IF(ISNUMBER(SEARCH("/",Raw_Data!B187)),IFERROR(DATE(VALUE(RIGHT(Raw_Data!B187,4)),VALUE(MID(Raw_Data!B187,4,2)),VALUE(LEFT(Raw_Data!B187,2))),"Invalid Date"),IFERROR(DATEVALUE(Raw_Data!B187),"Invalid Date"))))</f>
        <v>45911</v>
      </c>
      <c r="C187" s="17" t="str">
        <f>IF(TRIM(Raw_Data!C187)="","",PROPER(TRIM(Raw_Data!C187)))</f>
        <v>Unit G - Transport Corps</v>
      </c>
      <c r="D187" s="17" t="str">
        <f>IF(TRIM(Raw_Data!D187)="","Not Specified",IFERROR(INDEX(Lookup_Tables!$H$6:$H$12,MATCH(TRIM(Raw_Data!D187),Lookup_Tables!$G$6:$G$12,0)),"Unknown - Review"))</f>
        <v>Southern</v>
      </c>
      <c r="E187" s="17" t="str">
        <f>IF(TRIM(Raw_Data!E187)="","Not Specified",IFERROR(INDEX(Lookup_Tables!$B$6:$B$18,MATCH(TRIM(Raw_Data!E187),Lookup_Tables!$A$6:$A$18,0)),"Unknown - Review"))</f>
        <v>Vehicle Spares</v>
      </c>
      <c r="F187" s="17" t="str">
        <f>IF(TRIM(Raw_Data!F187)="","",TRIM(Raw_Data!F187))</f>
        <v>Radiator Assembly</v>
      </c>
      <c r="G187" s="17">
        <f>IF(Raw_Data!G187="","",IF(VALUE(Raw_Data!G187)&lt;=0,"Invalid",VALUE(Raw_Data!G187)))</f>
        <v>491</v>
      </c>
      <c r="H187" s="17">
        <f>IF(Raw_Data!H187="","",IF(VALUE(Raw_Data!H187)&lt;=0,"Invalid",VALUE(Raw_Data!H187)))</f>
        <v>378</v>
      </c>
      <c r="I187" s="23">
        <f>IFERROR(VALUE(SUBSTITUTE(SUBSTITUTE(Raw_Data!I187,"₹",""),",","")),"")</f>
        <v>44953</v>
      </c>
      <c r="J187" s="17" t="str">
        <f>IF(TRIM(Raw_Data!J187)="","Not Specified",PROPER(TRIM(Raw_Data!J187)))</f>
        <v>High</v>
      </c>
      <c r="K187" s="17" t="str">
        <f>IF(TRIM(Raw_Data!K187)="","Not Specified",IFERROR(INDEX(Lookup_Tables!$E$6:$E$13,MATCH(TRIM(Raw_Data!K187),Lookup_Tables!$D$6:$D$13,0)),"Unknown - Review"))</f>
        <v>Approved</v>
      </c>
      <c r="L187" s="17" t="str">
        <f>IF(TRIM(Raw_Data!L187)="","",PROPER(TRIM(Raw_Data!L187)))</f>
        <v>Unit Commander</v>
      </c>
      <c r="M187" s="22">
        <f>IF(Raw_Data!M187="","",IF(ISNUMBER(Raw_Data!M187),Raw_Data!M187,IF(ISNUMBER(SEARCH("/",Raw_Data!M187)),IFERROR(DATE(VALUE(RIGHT(Raw_Data!M187,4)),VALUE(MID(Raw_Data!M187,4,2)),VALUE(LEFT(Raw_Data!M187,2))),"Invalid Date"),IFERROR(DATEVALUE(Raw_Data!M187),"Invalid Date"))))</f>
        <v>45912</v>
      </c>
      <c r="N187" s="22">
        <f>IF(Raw_Data!N187="","",IF(ISNUMBER(Raw_Data!N187),Raw_Data!N187,IF(ISNUMBER(SEARCH("/",Raw_Data!N187)),IFERROR(DATE(VALUE(RIGHT(Raw_Data!N187,4)),VALUE(MID(Raw_Data!N187,4,2)),VALUE(LEFT(Raw_Data!N187,2))),"Invalid Date"),IFERROR(DATEVALUE(Raw_Data!N187),"Invalid Date"))))</f>
        <v>45932</v>
      </c>
      <c r="O187" s="22" t="str">
        <f>IF(Raw_Data!O187="","",IF(ISNUMBER(Raw_Data!O187),Raw_Data!O187,IF(ISNUMBER(SEARCH("/",Raw_Data!O187)),IFERROR(DATE(VALUE(RIGHT(Raw_Data!O187,4)),VALUE(MID(Raw_Data!O187,4,2)),VALUE(LEFT(Raw_Data!O187,2))),"Invalid Date"),IFERROR(DATEVALUE(Raw_Data!O187),"Invalid Date"))))</f>
        <v/>
      </c>
      <c r="P187" s="17" t="str">
        <f>IF(OR(TRIM(Raw_Data!P187)="",TRIM(Raw_Data!P187)="N/A",TRIM(Raw_Data!P187)="TBD",TRIM(Raw_Data!P187)="-"),"Not Assigned",PROPER(TRIM(Raw_Data!P187)))</f>
        <v>Shakti Traders</v>
      </c>
      <c r="Q187" s="24">
        <f t="shared" si="12"/>
        <v>16992234</v>
      </c>
      <c r="R187" s="17" t="str">
        <f t="shared" si="13"/>
        <v/>
      </c>
      <c r="S187" s="17" t="str">
        <f>IF(COUNTIF($A$2:A187,A187)&gt;1,"Duplicate","Unique")</f>
        <v>Unique</v>
      </c>
      <c r="T187" s="17" t="str">
        <f t="shared" si="14"/>
        <v>No</v>
      </c>
      <c r="U187" s="17" t="str">
        <f t="shared" si="15"/>
        <v>No</v>
      </c>
      <c r="V187" s="17" t="str">
        <f t="shared" si="16"/>
        <v>Yes</v>
      </c>
      <c r="W187" s="17" t="str">
        <f t="shared" si="17"/>
        <v>Sep-2025</v>
      </c>
    </row>
    <row r="188" spans="1:23" x14ac:dyDescent="0.3">
      <c r="A188" s="17" t="str">
        <f>TRIM(Raw_Data!A188)</f>
        <v>REQ-2025-0187</v>
      </c>
      <c r="B188" s="22">
        <f>IF(Raw_Data!B188="","",IF(ISNUMBER(Raw_Data!B188),Raw_Data!B188,IF(ISNUMBER(SEARCH("/",Raw_Data!B188)),IFERROR(DATE(VALUE(RIGHT(Raw_Data!B188,4)),VALUE(MID(Raw_Data!B188,4,2)),VALUE(LEFT(Raw_Data!B188,2))),"Invalid Date"),IFERROR(DATEVALUE(Raw_Data!B188),"Invalid Date"))))</f>
        <v>45935</v>
      </c>
      <c r="C188" s="17" t="str">
        <f>IF(TRIM(Raw_Data!C188)="","",PROPER(TRIM(Raw_Data!C188)))</f>
        <v>Unit E - Medical Corps</v>
      </c>
      <c r="D188" s="17" t="str">
        <f>IF(TRIM(Raw_Data!D188)="","Not Specified",IFERROR(INDEX(Lookup_Tables!$H$6:$H$12,MATCH(TRIM(Raw_Data!D188),Lookup_Tables!$G$6:$G$12,0)),"Unknown - Review"))</f>
        <v>Central</v>
      </c>
      <c r="E188" s="17" t="str">
        <f>IF(TRIM(Raw_Data!E188)="","Not Specified",IFERROR(INDEX(Lookup_Tables!$B$6:$B$18,MATCH(TRIM(Raw_Data!E188),Lookup_Tables!$A$6:$A$18,0)),"Unknown - Review"))</f>
        <v>Communication Equipment</v>
      </c>
      <c r="F188" s="17" t="str">
        <f>IF(TRIM(Raw_Data!F188)="","",TRIM(Raw_Data!F188))</f>
        <v>Headset Set</v>
      </c>
      <c r="G188" s="17">
        <f>IF(Raw_Data!G188="","",IF(VALUE(Raw_Data!G188)&lt;=0,"Invalid",VALUE(Raw_Data!G188)))</f>
        <v>322</v>
      </c>
      <c r="H188" s="17">
        <f>IF(Raw_Data!H188="","",IF(VALUE(Raw_Data!H188)&lt;=0,"Invalid",VALUE(Raw_Data!H188)))</f>
        <v>230</v>
      </c>
      <c r="I188" s="23">
        <f>IFERROR(VALUE(SUBSTITUTE(SUBSTITUTE(Raw_Data!I188,"₹",""),",","")),"")</f>
        <v>42547.7</v>
      </c>
      <c r="J188" s="17" t="str">
        <f>IF(TRIM(Raw_Data!J188)="","Not Specified",PROPER(TRIM(Raw_Data!J188)))</f>
        <v>Medium</v>
      </c>
      <c r="K188" s="17" t="str">
        <f>IF(TRIM(Raw_Data!K188)="","Not Specified",IFERROR(INDEX(Lookup_Tables!$E$6:$E$13,MATCH(TRIM(Raw_Data!K188),Lookup_Tables!$D$6:$D$13,0)),"Unknown - Review"))</f>
        <v>Dispatched</v>
      </c>
      <c r="L188" s="17" t="str">
        <f>IF(TRIM(Raw_Data!L188)="","",PROPER(TRIM(Raw_Data!L188)))</f>
        <v>Quartermaster</v>
      </c>
      <c r="M188" s="22">
        <f>IF(Raw_Data!M188="","",IF(ISNUMBER(Raw_Data!M188),Raw_Data!M188,IF(ISNUMBER(SEARCH("/",Raw_Data!M188)),IFERROR(DATE(VALUE(RIGHT(Raw_Data!M188,4)),VALUE(MID(Raw_Data!M188,4,2)),VALUE(LEFT(Raw_Data!M188,2))),"Invalid Date"),IFERROR(DATEVALUE(Raw_Data!M188),"Invalid Date"))))</f>
        <v>45941</v>
      </c>
      <c r="N188" s="22">
        <f>IF(Raw_Data!N188="","",IF(ISNUMBER(Raw_Data!N188),Raw_Data!N188,IF(ISNUMBER(SEARCH("/",Raw_Data!N188)),IFERROR(DATE(VALUE(RIGHT(Raw_Data!N188,4)),VALUE(MID(Raw_Data!N188,4,2)),VALUE(LEFT(Raw_Data!N188,2))),"Invalid Date"),IFERROR(DATEVALUE(Raw_Data!N188),"Invalid Date"))))</f>
        <v>45947</v>
      </c>
      <c r="O188" s="22" t="str">
        <f>IF(Raw_Data!O188="","",IF(ISNUMBER(Raw_Data!O188),Raw_Data!O188,IF(ISNUMBER(SEARCH("/",Raw_Data!O188)),IFERROR(DATE(VALUE(RIGHT(Raw_Data!O188,4)),VALUE(MID(Raw_Data!O188,4,2)),VALUE(LEFT(Raw_Data!O188,2))),"Invalid Date"),IFERROR(DATEVALUE(Raw_Data!O188),"Invalid Date"))))</f>
        <v/>
      </c>
      <c r="P188" s="17" t="str">
        <f>IF(OR(TRIM(Raw_Data!P188)="",TRIM(Raw_Data!P188)="N/A",TRIM(Raw_Data!P188)="TBD",TRIM(Raw_Data!P188)="-"),"Not Assigned",PROPER(TRIM(Raw_Data!P188)))</f>
        <v>Sena Supply Co</v>
      </c>
      <c r="Q188" s="24">
        <f t="shared" si="12"/>
        <v>9785971</v>
      </c>
      <c r="R188" s="17" t="str">
        <f t="shared" si="13"/>
        <v/>
      </c>
      <c r="S188" s="17" t="str">
        <f>IF(COUNTIF($A$2:A188,A188)&gt;1,"Duplicate","Unique")</f>
        <v>Unique</v>
      </c>
      <c r="T188" s="17" t="str">
        <f t="shared" si="14"/>
        <v>No</v>
      </c>
      <c r="U188" s="17" t="str">
        <f t="shared" si="15"/>
        <v>No</v>
      </c>
      <c r="V188" s="17" t="str">
        <f t="shared" si="16"/>
        <v>Yes</v>
      </c>
      <c r="W188" s="17" t="str">
        <f t="shared" si="17"/>
        <v>Oct-2025</v>
      </c>
    </row>
    <row r="189" spans="1:23" x14ac:dyDescent="0.3">
      <c r="A189" s="17" t="str">
        <f>TRIM(Raw_Data!A189)</f>
        <v>REQ-2025-0188</v>
      </c>
      <c r="B189" s="22">
        <f>IF(Raw_Data!B189="","",IF(ISNUMBER(Raw_Data!B189),Raw_Data!B189,IF(ISNUMBER(SEARCH("/",Raw_Data!B189)),IFERROR(DATE(VALUE(RIGHT(Raw_Data!B189,4)),VALUE(MID(Raw_Data!B189,4,2)),VALUE(LEFT(Raw_Data!B189,2))),"Invalid Date"),IFERROR(DATEVALUE(Raw_Data!B189),"Invalid Date"))))</f>
        <v>46006</v>
      </c>
      <c r="C189" s="17" t="str">
        <f>IF(TRIM(Raw_Data!C189)="","",PROPER(TRIM(Raw_Data!C189)))</f>
        <v>Unit D - Signals</v>
      </c>
      <c r="D189" s="17" t="str">
        <f>IF(TRIM(Raw_Data!D189)="","Not Specified",IFERROR(INDEX(Lookup_Tables!$H$6:$H$12,MATCH(TRIM(Raw_Data!D189),Lookup_Tables!$G$6:$G$12,0)),"Unknown - Review"))</f>
        <v>Western</v>
      </c>
      <c r="E189" s="17" t="str">
        <f>IF(TRIM(Raw_Data!E189)="","Not Specified",IFERROR(INDEX(Lookup_Tables!$B$6:$B$18,MATCH(TRIM(Raw_Data!E189),Lookup_Tables!$A$6:$A$18,0)),"Unknown - Review"))</f>
        <v>Communication Equipment</v>
      </c>
      <c r="F189" s="17" t="str">
        <f>IF(TRIM(Raw_Data!F189)="","",TRIM(Raw_Data!F189))</f>
        <v>Headset Set</v>
      </c>
      <c r="G189" s="17">
        <f>IF(Raw_Data!G189="","",IF(VALUE(Raw_Data!G189)&lt;=0,"Invalid",VALUE(Raw_Data!G189)))</f>
        <v>195</v>
      </c>
      <c r="H189" s="17" t="str">
        <f>IF(Raw_Data!H189="","",IF(VALUE(Raw_Data!H189)&lt;=0,"Invalid",VALUE(Raw_Data!H189)))</f>
        <v/>
      </c>
      <c r="I189" s="23">
        <f>IFERROR(VALUE(SUBSTITUTE(SUBSTITUTE(Raw_Data!I189,"₹",""),",","")),"")</f>
        <v>23771.71</v>
      </c>
      <c r="J189" s="17" t="str">
        <f>IF(TRIM(Raw_Data!J189)="","Not Specified",PROPER(TRIM(Raw_Data!J189)))</f>
        <v>High</v>
      </c>
      <c r="K189" s="17" t="str">
        <f>IF(TRIM(Raw_Data!K189)="","Not Specified",IFERROR(INDEX(Lookup_Tables!$E$6:$E$13,MATCH(TRIM(Raw_Data!K189),Lookup_Tables!$D$6:$D$13,0)),"Unknown - Review"))</f>
        <v>Rejected</v>
      </c>
      <c r="L189" s="17" t="str">
        <f>IF(TRIM(Raw_Data!L189)="","",PROPER(TRIM(Raw_Data!L189)))</f>
        <v>Quartermaster</v>
      </c>
      <c r="M189" s="22" t="str">
        <f>IF(Raw_Data!M189="","",IF(ISNUMBER(Raw_Data!M189),Raw_Data!M189,IF(ISNUMBER(SEARCH("/",Raw_Data!M189)),IFERROR(DATE(VALUE(RIGHT(Raw_Data!M189,4)),VALUE(MID(Raw_Data!M189,4,2)),VALUE(LEFT(Raw_Data!M189,2))),"Invalid Date"),IFERROR(DATEVALUE(Raw_Data!M189),"Invalid Date"))))</f>
        <v/>
      </c>
      <c r="N189" s="22" t="str">
        <f>IF(Raw_Data!N189="","",IF(ISNUMBER(Raw_Data!N189),Raw_Data!N189,IF(ISNUMBER(SEARCH("/",Raw_Data!N189)),IFERROR(DATE(VALUE(RIGHT(Raw_Data!N189,4)),VALUE(MID(Raw_Data!N189,4,2)),VALUE(LEFT(Raw_Data!N189,2))),"Invalid Date"),IFERROR(DATEVALUE(Raw_Data!N189),"Invalid Date"))))</f>
        <v/>
      </c>
      <c r="O189" s="22" t="str">
        <f>IF(Raw_Data!O189="","",IF(ISNUMBER(Raw_Data!O189),Raw_Data!O189,IF(ISNUMBER(SEARCH("/",Raw_Data!O189)),IFERROR(DATE(VALUE(RIGHT(Raw_Data!O189,4)),VALUE(MID(Raw_Data!O189,4,2)),VALUE(LEFT(Raw_Data!O189,2))),"Invalid Date"),IFERROR(DATEVALUE(Raw_Data!O189),"Invalid Date"))))</f>
        <v/>
      </c>
      <c r="P189" s="17" t="str">
        <f>IF(OR(TRIM(Raw_Data!P189)="",TRIM(Raw_Data!P189)="N/A",TRIM(Raw_Data!P189)="TBD",TRIM(Raw_Data!P189)="-"),"Not Assigned",PROPER(TRIM(Raw_Data!P189)))</f>
        <v>Sena Supply Co</v>
      </c>
      <c r="Q189" s="24" t="str">
        <f t="shared" si="12"/>
        <v/>
      </c>
      <c r="R189" s="17" t="str">
        <f t="shared" si="13"/>
        <v/>
      </c>
      <c r="S189" s="17" t="str">
        <f>IF(COUNTIF($A$2:A189,A189)&gt;1,"Duplicate","Unique")</f>
        <v>Unique</v>
      </c>
      <c r="T189" s="17" t="str">
        <f t="shared" si="14"/>
        <v>No</v>
      </c>
      <c r="U189" s="17" t="str">
        <f t="shared" si="15"/>
        <v>No</v>
      </c>
      <c r="V189" s="17" t="str">
        <f t="shared" si="16"/>
        <v>Yes</v>
      </c>
      <c r="W189" s="17" t="str">
        <f t="shared" si="17"/>
        <v>Dec-2025</v>
      </c>
    </row>
    <row r="190" spans="1:23" x14ac:dyDescent="0.3">
      <c r="A190" s="17" t="str">
        <f>TRIM(Raw_Data!A190)</f>
        <v>REQ-2025-0189</v>
      </c>
      <c r="B190" s="22">
        <f>IF(Raw_Data!B190="","",IF(ISNUMBER(Raw_Data!B190),Raw_Data!B190,IF(ISNUMBER(SEARCH("/",Raw_Data!B190)),IFERROR(DATE(VALUE(RIGHT(Raw_Data!B190,4)),VALUE(MID(Raw_Data!B190,4,2)),VALUE(LEFT(Raw_Data!B190,2))),"Invalid Date"),IFERROR(DATEVALUE(Raw_Data!B190),"Invalid Date"))))</f>
        <v>46014</v>
      </c>
      <c r="C190" s="17" t="str">
        <f>IF(TRIM(Raw_Data!C190)="","",PROPER(TRIM(Raw_Data!C190)))</f>
        <v>Unit B - Artillery</v>
      </c>
      <c r="D190" s="17" t="str">
        <f>IF(TRIM(Raw_Data!D190)="","Not Specified",IFERROR(INDEX(Lookup_Tables!$H$6:$H$12,MATCH(TRIM(Raw_Data!D190),Lookup_Tables!$G$6:$G$12,0)),"Unknown - Review"))</f>
        <v>Southern</v>
      </c>
      <c r="E190" s="17" t="str">
        <f>IF(TRIM(Raw_Data!E190)="","Not Specified",IFERROR(INDEX(Lookup_Tables!$B$6:$B$18,MATCH(TRIM(Raw_Data!E190),Lookup_Tables!$A$6:$A$18,0)),"Unknown - Review"))</f>
        <v>Communication Equipment</v>
      </c>
      <c r="F190" s="17" t="str">
        <f>IF(TRIM(Raw_Data!F190)="","",TRIM(Raw_Data!F190))</f>
        <v>Field Radio Set</v>
      </c>
      <c r="G190" s="17">
        <f>IF(Raw_Data!G190="","",IF(VALUE(Raw_Data!G190)&lt;=0,"Invalid",VALUE(Raw_Data!G190)))</f>
        <v>271</v>
      </c>
      <c r="H190" s="17" t="str">
        <f>IF(Raw_Data!H190="","",IF(VALUE(Raw_Data!H190)&lt;=0,"Invalid",VALUE(Raw_Data!H190)))</f>
        <v/>
      </c>
      <c r="I190" s="23">
        <f>IFERROR(VALUE(SUBSTITUTE(SUBSTITUTE(Raw_Data!I190,"₹",""),",","")),"")</f>
        <v>1167.6600000000001</v>
      </c>
      <c r="J190" s="17" t="str">
        <f>IF(TRIM(Raw_Data!J190)="","Not Specified",PROPER(TRIM(Raw_Data!J190)))</f>
        <v>Medium</v>
      </c>
      <c r="K190" s="17" t="str">
        <f>IF(TRIM(Raw_Data!K190)="","Not Specified",IFERROR(INDEX(Lookup_Tables!$E$6:$E$13,MATCH(TRIM(Raw_Data!K190),Lookup_Tables!$D$6:$D$13,0)),"Unknown - Review"))</f>
        <v>Pending</v>
      </c>
      <c r="L190" s="17" t="str">
        <f>IF(TRIM(Raw_Data!L190)="","",PROPER(TRIM(Raw_Data!L190)))</f>
        <v>Logistics Officer</v>
      </c>
      <c r="M190" s="22" t="str">
        <f>IF(Raw_Data!M190="","",IF(ISNUMBER(Raw_Data!M190),Raw_Data!M190,IF(ISNUMBER(SEARCH("/",Raw_Data!M190)),IFERROR(DATE(VALUE(RIGHT(Raw_Data!M190,4)),VALUE(MID(Raw_Data!M190,4,2)),VALUE(LEFT(Raw_Data!M190,2))),"Invalid Date"),IFERROR(DATEVALUE(Raw_Data!M190),"Invalid Date"))))</f>
        <v/>
      </c>
      <c r="N190" s="22" t="str">
        <f>IF(Raw_Data!N190="","",IF(ISNUMBER(Raw_Data!N190),Raw_Data!N190,IF(ISNUMBER(SEARCH("/",Raw_Data!N190)),IFERROR(DATE(VALUE(RIGHT(Raw_Data!N190,4)),VALUE(MID(Raw_Data!N190,4,2)),VALUE(LEFT(Raw_Data!N190,2))),"Invalid Date"),IFERROR(DATEVALUE(Raw_Data!N190),"Invalid Date"))))</f>
        <v/>
      </c>
      <c r="O190" s="22" t="str">
        <f>IF(Raw_Data!O190="","",IF(ISNUMBER(Raw_Data!O190),Raw_Data!O190,IF(ISNUMBER(SEARCH("/",Raw_Data!O190)),IFERROR(DATE(VALUE(RIGHT(Raw_Data!O190,4)),VALUE(MID(Raw_Data!O190,4,2)),VALUE(LEFT(Raw_Data!O190,2))),"Invalid Date"),IFERROR(DATEVALUE(Raw_Data!O190),"Invalid Date"))))</f>
        <v/>
      </c>
      <c r="P190" s="17" t="str">
        <f>IF(OR(TRIM(Raw_Data!P190)="",TRIM(Raw_Data!P190)="N/A",TRIM(Raw_Data!P190)="TBD",TRIM(Raw_Data!P190)="-"),"Not Assigned",PROPER(TRIM(Raw_Data!P190)))</f>
        <v>National Defence Stores</v>
      </c>
      <c r="Q190" s="24" t="str">
        <f t="shared" si="12"/>
        <v/>
      </c>
      <c r="R190" s="17" t="str">
        <f t="shared" si="13"/>
        <v/>
      </c>
      <c r="S190" s="17" t="str">
        <f>IF(COUNTIF($A$2:A190,A190)&gt;1,"Duplicate","Unique")</f>
        <v>Unique</v>
      </c>
      <c r="T190" s="17" t="str">
        <f t="shared" si="14"/>
        <v>No</v>
      </c>
      <c r="U190" s="17" t="str">
        <f t="shared" si="15"/>
        <v>No</v>
      </c>
      <c r="V190" s="17" t="str">
        <f t="shared" si="16"/>
        <v>Yes</v>
      </c>
      <c r="W190" s="17" t="str">
        <f t="shared" si="17"/>
        <v>Dec-2025</v>
      </c>
    </row>
    <row r="191" spans="1:23" x14ac:dyDescent="0.3">
      <c r="A191" s="17" t="str">
        <f>TRIM(Raw_Data!A191)</f>
        <v>REQ-2025-0190</v>
      </c>
      <c r="B191" s="22">
        <f>IF(Raw_Data!B191="","",IF(ISNUMBER(Raw_Data!B191),Raw_Data!B191,IF(ISNUMBER(SEARCH("/",Raw_Data!B191)),IFERROR(DATE(VALUE(RIGHT(Raw_Data!B191,4)),VALUE(MID(Raw_Data!B191,4,2)),VALUE(LEFT(Raw_Data!B191,2))),"Invalid Date"),IFERROR(DATEVALUE(Raw_Data!B191),"Invalid Date"))))</f>
        <v>45745</v>
      </c>
      <c r="C191" s="17" t="str">
        <f>IF(TRIM(Raw_Data!C191)="","",PROPER(TRIM(Raw_Data!C191)))</f>
        <v>Unit H - Air Defence</v>
      </c>
      <c r="D191" s="17" t="str">
        <f>IF(TRIM(Raw_Data!D191)="","Not Specified",IFERROR(INDEX(Lookup_Tables!$H$6:$H$12,MATCH(TRIM(Raw_Data!D191),Lookup_Tables!$G$6:$G$12,0)),"Unknown - Review"))</f>
        <v>Eastern</v>
      </c>
      <c r="E191" s="17" t="str">
        <f>IF(TRIM(Raw_Data!E191)="","Not Specified",IFERROR(INDEX(Lookup_Tables!$B$6:$B$18,MATCH(TRIM(Raw_Data!E191),Lookup_Tables!$A$6:$A$18,0)),"Unknown - Review"))</f>
        <v>Uniforms &amp; Clothing</v>
      </c>
      <c r="F191" s="17" t="str">
        <f>IF(TRIM(Raw_Data!F191)="","",TRIM(Raw_Data!F191))</f>
        <v>Field Boots (Pair)</v>
      </c>
      <c r="G191" s="17">
        <f>IF(Raw_Data!G191="","",IF(VALUE(Raw_Data!G191)&lt;=0,"Invalid",VALUE(Raw_Data!G191)))</f>
        <v>195</v>
      </c>
      <c r="H191" s="17">
        <f>IF(Raw_Data!H191="","",IF(VALUE(Raw_Data!H191)&lt;=0,"Invalid",VALUE(Raw_Data!H191)))</f>
        <v>139</v>
      </c>
      <c r="I191" s="23">
        <f>IFERROR(VALUE(SUBSTITUTE(SUBSTITUTE(Raw_Data!I191,"₹",""),",","")),"")</f>
        <v>15987</v>
      </c>
      <c r="J191" s="17" t="str">
        <f>IF(TRIM(Raw_Data!J191)="","Not Specified",PROPER(TRIM(Raw_Data!J191)))</f>
        <v>Medium</v>
      </c>
      <c r="K191" s="17" t="str">
        <f>IF(TRIM(Raw_Data!K191)="","Not Specified",IFERROR(INDEX(Lookup_Tables!$E$6:$E$13,MATCH(TRIM(Raw_Data!K191),Lookup_Tables!$D$6:$D$13,0)),"Unknown - Review"))</f>
        <v>Delivered</v>
      </c>
      <c r="L191" s="17" t="str">
        <f>IF(TRIM(Raw_Data!L191)="","",PROPER(TRIM(Raw_Data!L191)))</f>
        <v>Unit Commander</v>
      </c>
      <c r="M191" s="22">
        <f>IF(Raw_Data!M191="","",IF(ISNUMBER(Raw_Data!M191),Raw_Data!M191,IF(ISNUMBER(SEARCH("/",Raw_Data!M191)),IFERROR(DATE(VALUE(RIGHT(Raw_Data!M191,4)),VALUE(MID(Raw_Data!M191,4,2)),VALUE(LEFT(Raw_Data!M191,2))),"Invalid Date"),IFERROR(DATEVALUE(Raw_Data!M191),"Invalid Date"))))</f>
        <v>45753</v>
      </c>
      <c r="N191" s="22">
        <f>IF(Raw_Data!N191="","",IF(ISNUMBER(Raw_Data!N191),Raw_Data!N191,IF(ISNUMBER(SEARCH("/",Raw_Data!N191)),IFERROR(DATE(VALUE(RIGHT(Raw_Data!N191,4)),VALUE(MID(Raw_Data!N191,4,2)),VALUE(LEFT(Raw_Data!N191,2))),"Invalid Date"),IFERROR(DATEVALUE(Raw_Data!N191),"Invalid Date"))))</f>
        <v>45763</v>
      </c>
      <c r="O191" s="22">
        <f>IF(Raw_Data!O191="","",IF(ISNUMBER(Raw_Data!O191),Raw_Data!O191,IF(ISNUMBER(SEARCH("/",Raw_Data!O191)),IFERROR(DATE(VALUE(RIGHT(Raw_Data!O191,4)),VALUE(MID(Raw_Data!O191,4,2)),VALUE(LEFT(Raw_Data!O191,2))),"Invalid Date"),IFERROR(DATEVALUE(Raw_Data!O191),"Invalid Date"))))</f>
        <v>45777</v>
      </c>
      <c r="P191" s="17" t="str">
        <f>IF(OR(TRIM(Raw_Data!P191)="",TRIM(Raw_Data!P191)="N/A",TRIM(Raw_Data!P191)="TBD",TRIM(Raw_Data!P191)="-"),"Not Assigned",PROPER(TRIM(Raw_Data!P191)))</f>
        <v>National Defence Stores</v>
      </c>
      <c r="Q191" s="24">
        <f t="shared" si="12"/>
        <v>2222193</v>
      </c>
      <c r="R191" s="17">
        <f t="shared" si="13"/>
        <v>14</v>
      </c>
      <c r="S191" s="17" t="str">
        <f>IF(COUNTIF($A$2:A191,A191)&gt;1,"Duplicate","Unique")</f>
        <v>Unique</v>
      </c>
      <c r="T191" s="17" t="str">
        <f t="shared" si="14"/>
        <v>No</v>
      </c>
      <c r="U191" s="17" t="str">
        <f t="shared" si="15"/>
        <v>No</v>
      </c>
      <c r="V191" s="17" t="str">
        <f t="shared" si="16"/>
        <v>Yes</v>
      </c>
      <c r="W191" s="17" t="str">
        <f t="shared" si="17"/>
        <v>Mar-2025</v>
      </c>
    </row>
    <row r="192" spans="1:23" x14ac:dyDescent="0.3">
      <c r="A192" s="17" t="str">
        <f>TRIM(Raw_Data!A192)</f>
        <v>REQ-2025-0191</v>
      </c>
      <c r="B192" s="22">
        <f>IF(Raw_Data!B192="","",IF(ISNUMBER(Raw_Data!B192),Raw_Data!B192,IF(ISNUMBER(SEARCH("/",Raw_Data!B192)),IFERROR(DATE(VALUE(RIGHT(Raw_Data!B192,4)),VALUE(MID(Raw_Data!B192,4,2)),VALUE(LEFT(Raw_Data!B192,2))),"Invalid Date"),IFERROR(DATEVALUE(Raw_Data!B192),"Invalid Date"))))</f>
        <v>45812</v>
      </c>
      <c r="C192" s="17" t="str">
        <f>IF(TRIM(Raw_Data!C192)="","",PROPER(TRIM(Raw_Data!C192)))</f>
        <v>Unit H - Air Defence</v>
      </c>
      <c r="D192" s="17" t="str">
        <f>IF(TRIM(Raw_Data!D192)="","Not Specified",IFERROR(INDEX(Lookup_Tables!$H$6:$H$12,MATCH(TRIM(Raw_Data!D192),Lookup_Tables!$G$6:$G$12,0)),"Unknown - Review"))</f>
        <v>Eastern</v>
      </c>
      <c r="E192" s="17" t="str">
        <f>IF(TRIM(Raw_Data!E192)="","Not Specified",IFERROR(INDEX(Lookup_Tables!$B$6:$B$18,MATCH(TRIM(Raw_Data!E192),Lookup_Tables!$A$6:$A$18,0)),"Unknown - Review"))</f>
        <v>Uniforms &amp; Clothing</v>
      </c>
      <c r="F192" s="17" t="str">
        <f>IF(TRIM(Raw_Data!F192)="","",TRIM(Raw_Data!F192))</f>
        <v>Woolen Gloves</v>
      </c>
      <c r="G192" s="17">
        <f>IF(Raw_Data!G192="","",IF(VALUE(Raw_Data!G192)&lt;=0,"Invalid",VALUE(Raw_Data!G192)))</f>
        <v>481</v>
      </c>
      <c r="H192" s="17" t="str">
        <f>IF(Raw_Data!H192="","",IF(VALUE(Raw_Data!H192)&lt;=0,"Invalid",VALUE(Raw_Data!H192)))</f>
        <v/>
      </c>
      <c r="I192" s="23">
        <f>IFERROR(VALUE(SUBSTITUTE(SUBSTITUTE(Raw_Data!I192,"₹",""),",","")),"")</f>
        <v>6670.47</v>
      </c>
      <c r="J192" s="17" t="str">
        <f>IF(TRIM(Raw_Data!J192)="","Not Specified",PROPER(TRIM(Raw_Data!J192)))</f>
        <v>High</v>
      </c>
      <c r="K192" s="17" t="str">
        <f>IF(TRIM(Raw_Data!K192)="","Not Specified",IFERROR(INDEX(Lookup_Tables!$E$6:$E$13,MATCH(TRIM(Raw_Data!K192),Lookup_Tables!$D$6:$D$13,0)),"Unknown - Review"))</f>
        <v>Pending</v>
      </c>
      <c r="L192" s="17" t="str">
        <f>IF(TRIM(Raw_Data!L192)="","",PROPER(TRIM(Raw_Data!L192)))</f>
        <v>Unit Commander</v>
      </c>
      <c r="M192" s="22" t="str">
        <f>IF(Raw_Data!M192="","",IF(ISNUMBER(Raw_Data!M192),Raw_Data!M192,IF(ISNUMBER(SEARCH("/",Raw_Data!M192)),IFERROR(DATE(VALUE(RIGHT(Raw_Data!M192,4)),VALUE(MID(Raw_Data!M192,4,2)),VALUE(LEFT(Raw_Data!M192,2))),"Invalid Date"),IFERROR(DATEVALUE(Raw_Data!M192),"Invalid Date"))))</f>
        <v/>
      </c>
      <c r="N192" s="22" t="str">
        <f>IF(Raw_Data!N192="","",IF(ISNUMBER(Raw_Data!N192),Raw_Data!N192,IF(ISNUMBER(SEARCH("/",Raw_Data!N192)),IFERROR(DATE(VALUE(RIGHT(Raw_Data!N192,4)),VALUE(MID(Raw_Data!N192,4,2)),VALUE(LEFT(Raw_Data!N192,2))),"Invalid Date"),IFERROR(DATEVALUE(Raw_Data!N192),"Invalid Date"))))</f>
        <v/>
      </c>
      <c r="O192" s="22" t="str">
        <f>IF(Raw_Data!O192="","",IF(ISNUMBER(Raw_Data!O192),Raw_Data!O192,IF(ISNUMBER(SEARCH("/",Raw_Data!O192)),IFERROR(DATE(VALUE(RIGHT(Raw_Data!O192,4)),VALUE(MID(Raw_Data!O192,4,2)),VALUE(LEFT(Raw_Data!O192,2))),"Invalid Date"),IFERROR(DATEVALUE(Raw_Data!O192),"Invalid Date"))))</f>
        <v/>
      </c>
      <c r="P192" s="17" t="str">
        <f>IF(OR(TRIM(Raw_Data!P192)="",TRIM(Raw_Data!P192)="N/A",TRIM(Raw_Data!P192)="TBD",TRIM(Raw_Data!P192)="-"),"Not Assigned",PROPER(TRIM(Raw_Data!P192)))</f>
        <v>Om Suppliers</v>
      </c>
      <c r="Q192" s="24" t="str">
        <f t="shared" si="12"/>
        <v/>
      </c>
      <c r="R192" s="17" t="str">
        <f t="shared" si="13"/>
        <v/>
      </c>
      <c r="S192" s="17" t="str">
        <f>IF(COUNTIF($A$2:A192,A192)&gt;1,"Duplicate","Unique")</f>
        <v>Unique</v>
      </c>
      <c r="T192" s="17" t="str">
        <f t="shared" si="14"/>
        <v>No</v>
      </c>
      <c r="U192" s="17" t="str">
        <f t="shared" si="15"/>
        <v>No</v>
      </c>
      <c r="V192" s="17" t="str">
        <f t="shared" si="16"/>
        <v>Yes</v>
      </c>
      <c r="W192" s="17" t="str">
        <f t="shared" si="17"/>
        <v>Jun-2025</v>
      </c>
    </row>
    <row r="193" spans="1:23" x14ac:dyDescent="0.3">
      <c r="A193" s="17" t="str">
        <f>TRIM(Raw_Data!A193)</f>
        <v>REQ-2025-0192</v>
      </c>
      <c r="B193" s="22">
        <f>IF(Raw_Data!B193="","",IF(ISNUMBER(Raw_Data!B193),Raw_Data!B193,IF(ISNUMBER(SEARCH("/",Raw_Data!B193)),IFERROR(DATE(VALUE(RIGHT(Raw_Data!B193,4)),VALUE(MID(Raw_Data!B193,4,2)),VALUE(LEFT(Raw_Data!B193,2))),"Invalid Date"),IFERROR(DATEVALUE(Raw_Data!B193),"Invalid Date"))))</f>
        <v>46005</v>
      </c>
      <c r="C193" s="17" t="str">
        <f>IF(TRIM(Raw_Data!C193)="","",PROPER(TRIM(Raw_Data!C193)))</f>
        <v>Unit B - Artillery</v>
      </c>
      <c r="D193" s="17" t="str">
        <f>IF(TRIM(Raw_Data!D193)="","Not Specified",IFERROR(INDEX(Lookup_Tables!$H$6:$H$12,MATCH(TRIM(Raw_Data!D193),Lookup_Tables!$G$6:$G$12,0)),"Unknown - Review"))</f>
        <v>Southern</v>
      </c>
      <c r="E193" s="17" t="str">
        <f>IF(TRIM(Raw_Data!E193)="","Not Specified",IFERROR(INDEX(Lookup_Tables!$B$6:$B$18,MATCH(TRIM(Raw_Data!E193),Lookup_Tables!$A$6:$A$18,0)),"Unknown - Review"))</f>
        <v>Rations</v>
      </c>
      <c r="F193" s="17" t="str">
        <f>IF(TRIM(Raw_Data!F193)="","",TRIM(Raw_Data!F193))</f>
        <v>Canned Vegetables</v>
      </c>
      <c r="G193" s="17">
        <f>IF(Raw_Data!G193="","",IF(VALUE(Raw_Data!G193)&lt;=0,"Invalid",VALUE(Raw_Data!G193)))</f>
        <v>210</v>
      </c>
      <c r="H193" s="17">
        <f>IF(Raw_Data!H193="","",IF(VALUE(Raw_Data!H193)&lt;=0,"Invalid",VALUE(Raw_Data!H193)))</f>
        <v>169</v>
      </c>
      <c r="I193" s="23">
        <f>IFERROR(VALUE(SUBSTITUTE(SUBSTITUTE(Raw_Data!I193,"₹",""),",","")),"")</f>
        <v>14787.54</v>
      </c>
      <c r="J193" s="17" t="str">
        <f>IF(TRIM(Raw_Data!J193)="","Not Specified",PROPER(TRIM(Raw_Data!J193)))</f>
        <v>Low</v>
      </c>
      <c r="K193" s="17" t="str">
        <f>IF(TRIM(Raw_Data!K193)="","Not Specified",IFERROR(INDEX(Lookup_Tables!$E$6:$E$13,MATCH(TRIM(Raw_Data!K193),Lookup_Tables!$D$6:$D$13,0)),"Unknown - Review"))</f>
        <v>Dispatched</v>
      </c>
      <c r="L193" s="17" t="str">
        <f>IF(TRIM(Raw_Data!L193)="","",PROPER(TRIM(Raw_Data!L193)))</f>
        <v>Quartermaster</v>
      </c>
      <c r="M193" s="22" t="str">
        <f>IF(Raw_Data!M193="","",IF(ISNUMBER(Raw_Data!M193),Raw_Data!M193,IF(ISNUMBER(SEARCH("/",Raw_Data!M193)),IFERROR(DATE(VALUE(RIGHT(Raw_Data!M193,4)),VALUE(MID(Raw_Data!M193,4,2)),VALUE(LEFT(Raw_Data!M193,2))),"Invalid Date"),IFERROR(DATEVALUE(Raw_Data!M193),"Invalid Date"))))</f>
        <v/>
      </c>
      <c r="N193" s="22">
        <f>IF(Raw_Data!N193="","",IF(ISNUMBER(Raw_Data!N193),Raw_Data!N193,IF(ISNUMBER(SEARCH("/",Raw_Data!N193)),IFERROR(DATE(VALUE(RIGHT(Raw_Data!N193,4)),VALUE(MID(Raw_Data!N193,4,2)),VALUE(LEFT(Raw_Data!N193,2))),"Invalid Date"),IFERROR(DATEVALUE(Raw_Data!N193),"Invalid Date"))))</f>
        <v>46040</v>
      </c>
      <c r="O193" s="22" t="str">
        <f>IF(Raw_Data!O193="","",IF(ISNUMBER(Raw_Data!O193),Raw_Data!O193,IF(ISNUMBER(SEARCH("/",Raw_Data!O193)),IFERROR(DATE(VALUE(RIGHT(Raw_Data!O193,4)),VALUE(MID(Raw_Data!O193,4,2)),VALUE(LEFT(Raw_Data!O193,2))),"Invalid Date"),IFERROR(DATEVALUE(Raw_Data!O193),"Invalid Date"))))</f>
        <v/>
      </c>
      <c r="P193" s="17" t="str">
        <f>IF(OR(TRIM(Raw_Data!P193)="",TRIM(Raw_Data!P193)="N/A",TRIM(Raw_Data!P193)="TBD",TRIM(Raw_Data!P193)="-"),"Not Assigned",PROPER(TRIM(Raw_Data!P193)))</f>
        <v>Vikram Enterprises</v>
      </c>
      <c r="Q193" s="24">
        <f t="shared" si="12"/>
        <v>2499094.2600000002</v>
      </c>
      <c r="R193" s="17" t="str">
        <f t="shared" si="13"/>
        <v/>
      </c>
      <c r="S193" s="17" t="str">
        <f>IF(COUNTIF($A$2:A193,A193)&gt;1,"Duplicate","Unique")</f>
        <v>Unique</v>
      </c>
      <c r="T193" s="17" t="str">
        <f t="shared" si="14"/>
        <v>No</v>
      </c>
      <c r="U193" s="17" t="str">
        <f t="shared" si="15"/>
        <v>No</v>
      </c>
      <c r="V193" s="17" t="str">
        <f t="shared" si="16"/>
        <v>Yes</v>
      </c>
      <c r="W193" s="17" t="str">
        <f t="shared" si="17"/>
        <v>Dec-2025</v>
      </c>
    </row>
    <row r="194" spans="1:23" x14ac:dyDescent="0.3">
      <c r="A194" s="17" t="str">
        <f>TRIM(Raw_Data!A194)</f>
        <v>REQ-2025-0193</v>
      </c>
      <c r="B194" s="22">
        <f>IF(Raw_Data!B194="","",IF(ISNUMBER(Raw_Data!B194),Raw_Data!B194,IF(ISNUMBER(SEARCH("/",Raw_Data!B194)),IFERROR(DATE(VALUE(RIGHT(Raw_Data!B194,4)),VALUE(MID(Raw_Data!B194,4,2)),VALUE(LEFT(Raw_Data!B194,2))),"Invalid Date"),IFERROR(DATEVALUE(Raw_Data!B194),"Invalid Date"))))</f>
        <v>45803</v>
      </c>
      <c r="C194" s="17" t="str">
        <f>IF(TRIM(Raw_Data!C194)="","",PROPER(TRIM(Raw_Data!C194)))</f>
        <v>Unit G - Transport Corps</v>
      </c>
      <c r="D194" s="17" t="str">
        <f>IF(TRIM(Raw_Data!D194)="","Not Specified",IFERROR(INDEX(Lookup_Tables!$H$6:$H$12,MATCH(TRIM(Raw_Data!D194),Lookup_Tables!$G$6:$G$12,0)),"Unknown - Review"))</f>
        <v>Southern</v>
      </c>
      <c r="E194" s="17" t="str">
        <f>IF(TRIM(Raw_Data!E194)="","Not Specified",IFERROR(INDEX(Lookup_Tables!$B$6:$B$18,MATCH(TRIM(Raw_Data!E194),Lookup_Tables!$A$6:$A$18,0)),"Unknown - Review"))</f>
        <v>Fuel &amp; Lubricants</v>
      </c>
      <c r="F194" s="17" t="str">
        <f>IF(TRIM(Raw_Data!F194)="","",TRIM(Raw_Data!F194))</f>
        <v>Diesel (Drum 200L)</v>
      </c>
      <c r="G194" s="17">
        <f>IF(Raw_Data!G194="","",IF(VALUE(Raw_Data!G194)&lt;=0,"Invalid",VALUE(Raw_Data!G194)))</f>
        <v>452</v>
      </c>
      <c r="H194" s="17">
        <f>IF(Raw_Data!H194="","",IF(VALUE(Raw_Data!H194)&lt;=0,"Invalid",VALUE(Raw_Data!H194)))</f>
        <v>436</v>
      </c>
      <c r="I194" s="23">
        <f>IFERROR(VALUE(SUBSTITUTE(SUBSTITUTE(Raw_Data!I194,"₹",""),",","")),"")</f>
        <v>33407.519999999997</v>
      </c>
      <c r="J194" s="17" t="str">
        <f>IF(TRIM(Raw_Data!J194)="","Not Specified",PROPER(TRIM(Raw_Data!J194)))</f>
        <v>Low</v>
      </c>
      <c r="K194" s="17" t="str">
        <f>IF(TRIM(Raw_Data!K194)="","Not Specified",IFERROR(INDEX(Lookup_Tables!$E$6:$E$13,MATCH(TRIM(Raw_Data!K194),Lookup_Tables!$D$6:$D$13,0)),"Unknown - Review"))</f>
        <v>Approved</v>
      </c>
      <c r="L194" s="17" t="str">
        <f>IF(TRIM(Raw_Data!L194)="","",PROPER(TRIM(Raw_Data!L194)))</f>
        <v>Unit Commander</v>
      </c>
      <c r="M194" s="22">
        <f>IF(Raw_Data!M194="","",IF(ISNUMBER(Raw_Data!M194),Raw_Data!M194,IF(ISNUMBER(SEARCH("/",Raw_Data!M194)),IFERROR(DATE(VALUE(RIGHT(Raw_Data!M194,4)),VALUE(MID(Raw_Data!M194,4,2)),VALUE(LEFT(Raw_Data!M194,2))),"Invalid Date"),IFERROR(DATEVALUE(Raw_Data!M194),"Invalid Date"))))</f>
        <v>45810</v>
      </c>
      <c r="N194" s="22">
        <f>IF(Raw_Data!N194="","",IF(ISNUMBER(Raw_Data!N194),Raw_Data!N194,IF(ISNUMBER(SEARCH("/",Raw_Data!N194)),IFERROR(DATE(VALUE(RIGHT(Raw_Data!N194,4)),VALUE(MID(Raw_Data!N194,4,2)),VALUE(LEFT(Raw_Data!N194,2))),"Invalid Date"),IFERROR(DATEVALUE(Raw_Data!N194),"Invalid Date"))))</f>
        <v>45840</v>
      </c>
      <c r="O194" s="22" t="str">
        <f>IF(Raw_Data!O194="","",IF(ISNUMBER(Raw_Data!O194),Raw_Data!O194,IF(ISNUMBER(SEARCH("/",Raw_Data!O194)),IFERROR(DATE(VALUE(RIGHT(Raw_Data!O194,4)),VALUE(MID(Raw_Data!O194,4,2)),VALUE(LEFT(Raw_Data!O194,2))),"Invalid Date"),IFERROR(DATEVALUE(Raw_Data!O194),"Invalid Date"))))</f>
        <v/>
      </c>
      <c r="P194" s="17" t="str">
        <f>IF(OR(TRIM(Raw_Data!P194)="",TRIM(Raw_Data!P194)="N/A",TRIM(Raw_Data!P194)="TBD",TRIM(Raw_Data!P194)="-"),"Not Assigned",PROPER(TRIM(Raw_Data!P194)))</f>
        <v>Not Assigned</v>
      </c>
      <c r="Q194" s="24">
        <f t="shared" ref="Q194:Q257" si="18">IF(OR(H194="",I194="",NOT(ISNUMBER(H194)),NOT(ISNUMBER(I194))),"",H194*I194)</f>
        <v>14565678.719999999</v>
      </c>
      <c r="R194" s="17" t="str">
        <f t="shared" ref="R194:R257" si="19">IF(AND(ISNUMBER(O194),ISNUMBER(N194)),O194-N194,"")</f>
        <v/>
      </c>
      <c r="S194" s="17" t="str">
        <f>IF(COUNTIF($A$2:A194,A194)&gt;1,"Duplicate","Unique")</f>
        <v>Unique</v>
      </c>
      <c r="T194" s="17" t="str">
        <f t="shared" ref="T194:T257" si="20">IF(OR(G194="",K194="Not Specified",C194=""),"Yes","No")</f>
        <v>No</v>
      </c>
      <c r="U194" s="17" t="str">
        <f t="shared" ref="U194:U257" si="21">IF(OR(AND(ISNUMBER(H194),ISNUMBER(G194),H194&gt;G194),AND(K194="Rejected",ISNUMBER(H194),H194&gt;0)),"Yes","No")</f>
        <v>No</v>
      </c>
      <c r="V194" s="17" t="str">
        <f t="shared" ref="V194:V257" si="22">IF(AND(S194="Unique",T194="No",U194="No",G194&lt;&gt;"Invalid",H194&lt;&gt;"Invalid"),"Yes","No")</f>
        <v>Yes</v>
      </c>
      <c r="W194" s="17" t="str">
        <f t="shared" ref="W194:W257" si="23">IF(ISNUMBER(B194),TEXT(B194,"MMM-YYYY"),"")</f>
        <v>May-2025</v>
      </c>
    </row>
    <row r="195" spans="1:23" x14ac:dyDescent="0.3">
      <c r="A195" s="17" t="str">
        <f>TRIM(Raw_Data!A195)</f>
        <v>REQ-2025-0194</v>
      </c>
      <c r="B195" s="22">
        <f>IF(Raw_Data!B195="","",IF(ISNUMBER(Raw_Data!B195),Raw_Data!B195,IF(ISNUMBER(SEARCH("/",Raw_Data!B195)),IFERROR(DATE(VALUE(RIGHT(Raw_Data!B195,4)),VALUE(MID(Raw_Data!B195,4,2)),VALUE(LEFT(Raw_Data!B195,2))),"Invalid Date"),IFERROR(DATEVALUE(Raw_Data!B195),"Invalid Date"))))</f>
        <v>46021</v>
      </c>
      <c r="C195" s="17" t="str">
        <f>IF(TRIM(Raw_Data!C195)="","",PROPER(TRIM(Raw_Data!C195)))</f>
        <v>Unit E - Medical Corps</v>
      </c>
      <c r="D195" s="17" t="str">
        <f>IF(TRIM(Raw_Data!D195)="","Not Specified",IFERROR(INDEX(Lookup_Tables!$H$6:$H$12,MATCH(TRIM(Raw_Data!D195),Lookup_Tables!$G$6:$G$12,0)),"Unknown - Review"))</f>
        <v>Central</v>
      </c>
      <c r="E195" s="17" t="str">
        <f>IF(TRIM(Raw_Data!E195)="","Not Specified",IFERROR(INDEX(Lookup_Tables!$B$6:$B$18,MATCH(TRIM(Raw_Data!E195),Lookup_Tables!$A$6:$A$18,0)),"Unknown - Review"))</f>
        <v>Tents &amp; Shelter</v>
      </c>
      <c r="F195" s="17" t="str">
        <f>IF(TRIM(Raw_Data!F195)="","",TRIM(Raw_Data!F195))</f>
        <v>Tent Poles Set</v>
      </c>
      <c r="G195" s="17">
        <f>IF(Raw_Data!G195="","",IF(VALUE(Raw_Data!G195)&lt;=0,"Invalid",VALUE(Raw_Data!G195)))</f>
        <v>100</v>
      </c>
      <c r="H195" s="17">
        <f>IF(Raw_Data!H195="","",IF(VALUE(Raw_Data!H195)&lt;=0,"Invalid",VALUE(Raw_Data!H195)))</f>
        <v>84</v>
      </c>
      <c r="I195" s="23">
        <f>IFERROR(VALUE(SUBSTITUTE(SUBSTITUTE(Raw_Data!I195,"₹",""),",","")),"")</f>
        <v>37052.54</v>
      </c>
      <c r="J195" s="17" t="str">
        <f>IF(TRIM(Raw_Data!J195)="","Not Specified",PROPER(TRIM(Raw_Data!J195)))</f>
        <v>Medium</v>
      </c>
      <c r="K195" s="17" t="str">
        <f>IF(TRIM(Raw_Data!K195)="","Not Specified",IFERROR(INDEX(Lookup_Tables!$E$6:$E$13,MATCH(TRIM(Raw_Data!K195),Lookup_Tables!$D$6:$D$13,0)),"Unknown - Review"))</f>
        <v>Dispatched</v>
      </c>
      <c r="L195" s="17" t="str">
        <f>IF(TRIM(Raw_Data!L195)="","",PROPER(TRIM(Raw_Data!L195)))</f>
        <v>Logistics Officer</v>
      </c>
      <c r="M195" s="22">
        <f>IF(Raw_Data!M195="","",IF(ISNUMBER(Raw_Data!M195),Raw_Data!M195,IF(ISNUMBER(SEARCH("/",Raw_Data!M195)),IFERROR(DATE(VALUE(RIGHT(Raw_Data!M195,4)),VALUE(MID(Raw_Data!M195,4,2)),VALUE(LEFT(Raw_Data!M195,2))),"Invalid Date"),IFERROR(DATEVALUE(Raw_Data!M195),"Invalid Date"))))</f>
        <v>46026</v>
      </c>
      <c r="N195" s="22" t="str">
        <f>IF(Raw_Data!N195="","",IF(ISNUMBER(Raw_Data!N195),Raw_Data!N195,IF(ISNUMBER(SEARCH("/",Raw_Data!N195)),IFERROR(DATE(VALUE(RIGHT(Raw_Data!N195,4)),VALUE(MID(Raw_Data!N195,4,2)),VALUE(LEFT(Raw_Data!N195,2))),"Invalid Date"),IFERROR(DATEVALUE(Raw_Data!N195),"Invalid Date"))))</f>
        <v/>
      </c>
      <c r="O195" s="22" t="str">
        <f>IF(Raw_Data!O195="","",IF(ISNUMBER(Raw_Data!O195),Raw_Data!O195,IF(ISNUMBER(SEARCH("/",Raw_Data!O195)),IFERROR(DATE(VALUE(RIGHT(Raw_Data!O195,4)),VALUE(MID(Raw_Data!O195,4,2)),VALUE(LEFT(Raw_Data!O195,2))),"Invalid Date"),IFERROR(DATEVALUE(Raw_Data!O195),"Invalid Date"))))</f>
        <v/>
      </c>
      <c r="P195" s="17" t="str">
        <f>IF(OR(TRIM(Raw_Data!P195)="",TRIM(Raw_Data!P195)="N/A",TRIM(Raw_Data!P195)="TBD",TRIM(Raw_Data!P195)="-"),"Not Assigned",PROPER(TRIM(Raw_Data!P195)))</f>
        <v>Shakti Traders</v>
      </c>
      <c r="Q195" s="24">
        <f t="shared" si="18"/>
        <v>3112413.36</v>
      </c>
      <c r="R195" s="17" t="str">
        <f t="shared" si="19"/>
        <v/>
      </c>
      <c r="S195" s="17" t="str">
        <f>IF(COUNTIF($A$2:A195,A195)&gt;1,"Duplicate","Unique")</f>
        <v>Unique</v>
      </c>
      <c r="T195" s="17" t="str">
        <f t="shared" si="20"/>
        <v>No</v>
      </c>
      <c r="U195" s="17" t="str">
        <f t="shared" si="21"/>
        <v>No</v>
      </c>
      <c r="V195" s="17" t="str">
        <f t="shared" si="22"/>
        <v>Yes</v>
      </c>
      <c r="W195" s="17" t="str">
        <f t="shared" si="23"/>
        <v>Dec-2025</v>
      </c>
    </row>
    <row r="196" spans="1:23" x14ac:dyDescent="0.3">
      <c r="A196" s="17" t="str">
        <f>TRIM(Raw_Data!A196)</f>
        <v>REQ-2025-0195</v>
      </c>
      <c r="B196" s="22" t="str">
        <f>IF(Raw_Data!B196="","",IF(ISNUMBER(Raw_Data!B196),Raw_Data!B196,IF(ISNUMBER(SEARCH("/",Raw_Data!B196)),IFERROR(DATE(VALUE(RIGHT(Raw_Data!B196,4)),VALUE(MID(Raw_Data!B196,4,2)),VALUE(LEFT(Raw_Data!B196,2))),"Invalid Date"),IFERROR(DATEVALUE(Raw_Data!B196),"Invalid Date"))))</f>
        <v/>
      </c>
      <c r="C196" s="17" t="str">
        <f>IF(TRIM(Raw_Data!C196)="","",PROPER(TRIM(Raw_Data!C196)))</f>
        <v>Unit B - Artillery</v>
      </c>
      <c r="D196" s="17" t="str">
        <f>IF(TRIM(Raw_Data!D196)="","Not Specified",IFERROR(INDEX(Lookup_Tables!$H$6:$H$12,MATCH(TRIM(Raw_Data!D196),Lookup_Tables!$G$6:$G$12,0)),"Unknown - Review"))</f>
        <v>Southern</v>
      </c>
      <c r="E196" s="17" t="str">
        <f>IF(TRIM(Raw_Data!E196)="","Not Specified",IFERROR(INDEX(Lookup_Tables!$B$6:$B$18,MATCH(TRIM(Raw_Data!E196),Lookup_Tables!$A$6:$A$18,0)),"Unknown - Review"))</f>
        <v>Fuel &amp; Lubricants</v>
      </c>
      <c r="F196" s="17" t="str">
        <f>IF(TRIM(Raw_Data!F196)="","",TRIM(Raw_Data!F196))</f>
        <v>Kerosene (Drum 200L)</v>
      </c>
      <c r="G196" s="17">
        <f>IF(Raw_Data!G196="","",IF(VALUE(Raw_Data!G196)&lt;=0,"Invalid",VALUE(Raw_Data!G196)))</f>
        <v>360</v>
      </c>
      <c r="H196" s="17">
        <f>IF(Raw_Data!H196="","",IF(VALUE(Raw_Data!H196)&lt;=0,"Invalid",VALUE(Raw_Data!H196)))</f>
        <v>331</v>
      </c>
      <c r="I196" s="23">
        <f>IFERROR(VALUE(SUBSTITUTE(SUBSTITUTE(Raw_Data!I196,"₹",""),",","")),"")</f>
        <v>936.9</v>
      </c>
      <c r="J196" s="17" t="str">
        <f>IF(TRIM(Raw_Data!J196)="","Not Specified",PROPER(TRIM(Raw_Data!J196)))</f>
        <v>Low</v>
      </c>
      <c r="K196" s="17" t="str">
        <f>IF(TRIM(Raw_Data!K196)="","Not Specified",IFERROR(INDEX(Lookup_Tables!$E$6:$E$13,MATCH(TRIM(Raw_Data!K196),Lookup_Tables!$D$6:$D$13,0)),"Unknown - Review"))</f>
        <v>Dispatched</v>
      </c>
      <c r="L196" s="17" t="str">
        <f>IF(TRIM(Raw_Data!L196)="","",PROPER(TRIM(Raw_Data!L196)))</f>
        <v>Unit Commander</v>
      </c>
      <c r="M196" s="22">
        <f>IF(Raw_Data!M196="","",IF(ISNUMBER(Raw_Data!M196),Raw_Data!M196,IF(ISNUMBER(SEARCH("/",Raw_Data!M196)),IFERROR(DATE(VALUE(RIGHT(Raw_Data!M196,4)),VALUE(MID(Raw_Data!M196,4,2)),VALUE(LEFT(Raw_Data!M196,2))),"Invalid Date"),IFERROR(DATEVALUE(Raw_Data!M196),"Invalid Date"))))</f>
        <v>45909</v>
      </c>
      <c r="N196" s="22">
        <f>IF(Raw_Data!N196="","",IF(ISNUMBER(Raw_Data!N196),Raw_Data!N196,IF(ISNUMBER(SEARCH("/",Raw_Data!N196)),IFERROR(DATE(VALUE(RIGHT(Raw_Data!N196,4)),VALUE(MID(Raw_Data!N196,4,2)),VALUE(LEFT(Raw_Data!N196,2))),"Invalid Date"),IFERROR(DATEVALUE(Raw_Data!N196),"Invalid Date"))))</f>
        <v>45919</v>
      </c>
      <c r="O196" s="22" t="str">
        <f>IF(Raw_Data!O196="","",IF(ISNUMBER(Raw_Data!O196),Raw_Data!O196,IF(ISNUMBER(SEARCH("/",Raw_Data!O196)),IFERROR(DATE(VALUE(RIGHT(Raw_Data!O196,4)),VALUE(MID(Raw_Data!O196,4,2)),VALUE(LEFT(Raw_Data!O196,2))),"Invalid Date"),IFERROR(DATEVALUE(Raw_Data!O196),"Invalid Date"))))</f>
        <v/>
      </c>
      <c r="P196" s="17" t="str">
        <f>IF(OR(TRIM(Raw_Data!P196)="",TRIM(Raw_Data!P196)="N/A",TRIM(Raw_Data!P196)="TBD",TRIM(Raw_Data!P196)="-"),"Not Assigned",PROPER(TRIM(Raw_Data!P196)))</f>
        <v>Bharat Logistics Pvt Ltd</v>
      </c>
      <c r="Q196" s="24">
        <f t="shared" si="18"/>
        <v>310113.89999999997</v>
      </c>
      <c r="R196" s="17" t="str">
        <f t="shared" si="19"/>
        <v/>
      </c>
      <c r="S196" s="17" t="str">
        <f>IF(COUNTIF($A$2:A196,A196)&gt;1,"Duplicate","Unique")</f>
        <v>Unique</v>
      </c>
      <c r="T196" s="17" t="str">
        <f t="shared" si="20"/>
        <v>No</v>
      </c>
      <c r="U196" s="17" t="str">
        <f t="shared" si="21"/>
        <v>No</v>
      </c>
      <c r="V196" s="17" t="str">
        <f t="shared" si="22"/>
        <v>Yes</v>
      </c>
      <c r="W196" s="17" t="str">
        <f t="shared" si="23"/>
        <v/>
      </c>
    </row>
    <row r="197" spans="1:23" x14ac:dyDescent="0.3">
      <c r="A197" s="17" t="str">
        <f>TRIM(Raw_Data!A197)</f>
        <v>REQ-2025-0196</v>
      </c>
      <c r="B197" s="22">
        <f>IF(Raw_Data!B197="","",IF(ISNUMBER(Raw_Data!B197),Raw_Data!B197,IF(ISNUMBER(SEARCH("/",Raw_Data!B197)),IFERROR(DATE(VALUE(RIGHT(Raw_Data!B197,4)),VALUE(MID(Raw_Data!B197,4,2)),VALUE(LEFT(Raw_Data!B197,2))),"Invalid Date"),IFERROR(DATEVALUE(Raw_Data!B197),"Invalid Date"))))</f>
        <v>45707</v>
      </c>
      <c r="C197" s="17" t="str">
        <f>IF(TRIM(Raw_Data!C197)="","",PROPER(TRIM(Raw_Data!C197)))</f>
        <v>Unit F - Ordnance Depot</v>
      </c>
      <c r="D197" s="17" t="str">
        <f>IF(TRIM(Raw_Data!D197)="","Not Specified",IFERROR(INDEX(Lookup_Tables!$H$6:$H$12,MATCH(TRIM(Raw_Data!D197),Lookup_Tables!$G$6:$G$12,0)),"Unknown - Review"))</f>
        <v>Eastern</v>
      </c>
      <c r="E197" s="17" t="str">
        <f>IF(TRIM(Raw_Data!E197)="","Not Specified",IFERROR(INDEX(Lookup_Tables!$B$6:$B$18,MATCH(TRIM(Raw_Data!E197),Lookup_Tables!$A$6:$A$18,0)),"Unknown - Review"))</f>
        <v>Communication Equipment</v>
      </c>
      <c r="F197" s="17" t="str">
        <f>IF(TRIM(Raw_Data!F197)="","",TRIM(Raw_Data!F197))</f>
        <v>Battery Pack (Radio)</v>
      </c>
      <c r="G197" s="17">
        <f>IF(Raw_Data!G197="","",IF(VALUE(Raw_Data!G197)&lt;=0,"Invalid",VALUE(Raw_Data!G197)))</f>
        <v>11</v>
      </c>
      <c r="H197" s="17">
        <f>IF(Raw_Data!H197="","",IF(VALUE(Raw_Data!H197)&lt;=0,"Invalid",VALUE(Raw_Data!H197)))</f>
        <v>10</v>
      </c>
      <c r="I197" s="23">
        <f>IFERROR(VALUE(SUBSTITUTE(SUBSTITUTE(Raw_Data!I197,"₹",""),",","")),"")</f>
        <v>18627.95</v>
      </c>
      <c r="J197" s="17" t="str">
        <f>IF(TRIM(Raw_Data!J197)="","Not Specified",PROPER(TRIM(Raw_Data!J197)))</f>
        <v>Low</v>
      </c>
      <c r="K197" s="17" t="str">
        <f>IF(TRIM(Raw_Data!K197)="","Not Specified",IFERROR(INDEX(Lookup_Tables!$E$6:$E$13,MATCH(TRIM(Raw_Data!K197),Lookup_Tables!$D$6:$D$13,0)),"Unknown - Review"))</f>
        <v>Dispatched</v>
      </c>
      <c r="L197" s="17" t="str">
        <f>IF(TRIM(Raw_Data!L197)="","",PROPER(TRIM(Raw_Data!L197)))</f>
        <v>Logistics Officer</v>
      </c>
      <c r="M197" s="22" t="str">
        <f>IF(Raw_Data!M197="","",IF(ISNUMBER(Raw_Data!M197),Raw_Data!M197,IF(ISNUMBER(SEARCH("/",Raw_Data!M197)),IFERROR(DATE(VALUE(RIGHT(Raw_Data!M197,4)),VALUE(MID(Raw_Data!M197,4,2)),VALUE(LEFT(Raw_Data!M197,2))),"Invalid Date"),IFERROR(DATEVALUE(Raw_Data!M197),"Invalid Date"))))</f>
        <v/>
      </c>
      <c r="N197" s="22" t="str">
        <f>IF(Raw_Data!N197="","",IF(ISNUMBER(Raw_Data!N197),Raw_Data!N197,IF(ISNUMBER(SEARCH("/",Raw_Data!N197)),IFERROR(DATE(VALUE(RIGHT(Raw_Data!N197,4)),VALUE(MID(Raw_Data!N197,4,2)),VALUE(LEFT(Raw_Data!N197,2))),"Invalid Date"),IFERROR(DATEVALUE(Raw_Data!N197),"Invalid Date"))))</f>
        <v/>
      </c>
      <c r="O197" s="22" t="str">
        <f>IF(Raw_Data!O197="","",IF(ISNUMBER(Raw_Data!O197),Raw_Data!O197,IF(ISNUMBER(SEARCH("/",Raw_Data!O197)),IFERROR(DATE(VALUE(RIGHT(Raw_Data!O197,4)),VALUE(MID(Raw_Data!O197,4,2)),VALUE(LEFT(Raw_Data!O197,2))),"Invalid Date"),IFERROR(DATEVALUE(Raw_Data!O197),"Invalid Date"))))</f>
        <v/>
      </c>
      <c r="P197" s="17" t="str">
        <f>IF(OR(TRIM(Raw_Data!P197)="",TRIM(Raw_Data!P197)="N/A",TRIM(Raw_Data!P197)="TBD",TRIM(Raw_Data!P197)="-"),"Not Assigned",PROPER(TRIM(Raw_Data!P197)))</f>
        <v>Not Assigned</v>
      </c>
      <c r="Q197" s="24">
        <f t="shared" si="18"/>
        <v>186279.5</v>
      </c>
      <c r="R197" s="17" t="str">
        <f t="shared" si="19"/>
        <v/>
      </c>
      <c r="S197" s="17" t="str">
        <f>IF(COUNTIF($A$2:A197,A197)&gt;1,"Duplicate","Unique")</f>
        <v>Unique</v>
      </c>
      <c r="T197" s="17" t="str">
        <f t="shared" si="20"/>
        <v>No</v>
      </c>
      <c r="U197" s="17" t="str">
        <f t="shared" si="21"/>
        <v>No</v>
      </c>
      <c r="V197" s="17" t="str">
        <f t="shared" si="22"/>
        <v>Yes</v>
      </c>
      <c r="W197" s="17" t="str">
        <f t="shared" si="23"/>
        <v>Feb-2025</v>
      </c>
    </row>
    <row r="198" spans="1:23" x14ac:dyDescent="0.3">
      <c r="A198" s="17" t="str">
        <f>TRIM(Raw_Data!A198)</f>
        <v>REQ-2025-0197</v>
      </c>
      <c r="B198" s="22">
        <f>IF(Raw_Data!B198="","",IF(ISNUMBER(Raw_Data!B198),Raw_Data!B198,IF(ISNUMBER(SEARCH("/",Raw_Data!B198)),IFERROR(DATE(VALUE(RIGHT(Raw_Data!B198,4)),VALUE(MID(Raw_Data!B198,4,2)),VALUE(LEFT(Raw_Data!B198,2))),"Invalid Date"),IFERROR(DATEVALUE(Raw_Data!B198),"Invalid Date"))))</f>
        <v>45963</v>
      </c>
      <c r="C198" s="17" t="str">
        <f>IF(TRIM(Raw_Data!C198)="","",PROPER(TRIM(Raw_Data!C198)))</f>
        <v>Unit E - Medical Corps</v>
      </c>
      <c r="D198" s="17" t="str">
        <f>IF(TRIM(Raw_Data!D198)="","Not Specified",IFERROR(INDEX(Lookup_Tables!$H$6:$H$12,MATCH(TRIM(Raw_Data!D198),Lookup_Tables!$G$6:$G$12,0)),"Unknown - Review"))</f>
        <v>Central</v>
      </c>
      <c r="E198" s="17" t="str">
        <f>IF(TRIM(Raw_Data!E198)="","Not Specified",IFERROR(INDEX(Lookup_Tables!$B$6:$B$18,MATCH(TRIM(Raw_Data!E198),Lookup_Tables!$A$6:$A$18,0)),"Unknown - Review"))</f>
        <v>Uniforms &amp; Clothing</v>
      </c>
      <c r="F198" s="17" t="str">
        <f>IF(TRIM(Raw_Data!F198)="","",TRIM(Raw_Data!F198))</f>
        <v>Rain Poncho</v>
      </c>
      <c r="G198" s="17">
        <f>IF(Raw_Data!G198="","",IF(VALUE(Raw_Data!G198)&lt;=0,"Invalid",VALUE(Raw_Data!G198)))</f>
        <v>368</v>
      </c>
      <c r="H198" s="17">
        <f>IF(Raw_Data!H198="","",IF(VALUE(Raw_Data!H198)&lt;=0,"Invalid",VALUE(Raw_Data!H198)))</f>
        <v>270</v>
      </c>
      <c r="I198" s="23" t="str">
        <f>IFERROR(VALUE(SUBSTITUTE(SUBSTITUTE(Raw_Data!I198,"₹",""),",","")),"")</f>
        <v/>
      </c>
      <c r="J198" s="17" t="str">
        <f>IF(TRIM(Raw_Data!J198)="","Not Specified",PROPER(TRIM(Raw_Data!J198)))</f>
        <v>Low</v>
      </c>
      <c r="K198" s="17" t="str">
        <f>IF(TRIM(Raw_Data!K198)="","Not Specified",IFERROR(INDEX(Lookup_Tables!$E$6:$E$13,MATCH(TRIM(Raw_Data!K198),Lookup_Tables!$D$6:$D$13,0)),"Unknown - Review"))</f>
        <v>Dispatched</v>
      </c>
      <c r="L198" s="17" t="str">
        <f>IF(TRIM(Raw_Data!L198)="","",PROPER(TRIM(Raw_Data!L198)))</f>
        <v>Logistics Officer</v>
      </c>
      <c r="M198" s="22">
        <f>IF(Raw_Data!M198="","",IF(ISNUMBER(Raw_Data!M198),Raw_Data!M198,IF(ISNUMBER(SEARCH("/",Raw_Data!M198)),IFERROR(DATE(VALUE(RIGHT(Raw_Data!M198,4)),VALUE(MID(Raw_Data!M198,4,2)),VALUE(LEFT(Raw_Data!M198,2))),"Invalid Date"),IFERROR(DATEVALUE(Raw_Data!M198),"Invalid Date"))))</f>
        <v>45966</v>
      </c>
      <c r="N198" s="22" t="str">
        <f>IF(Raw_Data!N198="","",IF(ISNUMBER(Raw_Data!N198),Raw_Data!N198,IF(ISNUMBER(SEARCH("/",Raw_Data!N198)),IFERROR(DATE(VALUE(RIGHT(Raw_Data!N198,4)),VALUE(MID(Raw_Data!N198,4,2)),VALUE(LEFT(Raw_Data!N198,2))),"Invalid Date"),IFERROR(DATEVALUE(Raw_Data!N198),"Invalid Date"))))</f>
        <v/>
      </c>
      <c r="O198" s="22" t="str">
        <f>IF(Raw_Data!O198="","",IF(ISNUMBER(Raw_Data!O198),Raw_Data!O198,IF(ISNUMBER(SEARCH("/",Raw_Data!O198)),IFERROR(DATE(VALUE(RIGHT(Raw_Data!O198,4)),VALUE(MID(Raw_Data!O198,4,2)),VALUE(LEFT(Raw_Data!O198,2))),"Invalid Date"),IFERROR(DATEVALUE(Raw_Data!O198),"Invalid Date"))))</f>
        <v/>
      </c>
      <c r="P198" s="17" t="str">
        <f>IF(OR(TRIM(Raw_Data!P198)="",TRIM(Raw_Data!P198)="N/A",TRIM(Raw_Data!P198)="TBD",TRIM(Raw_Data!P198)="-"),"Not Assigned",PROPER(TRIM(Raw_Data!P198)))</f>
        <v>Vikram Enterprises</v>
      </c>
      <c r="Q198" s="24" t="str">
        <f t="shared" si="18"/>
        <v/>
      </c>
      <c r="R198" s="17" t="str">
        <f t="shared" si="19"/>
        <v/>
      </c>
      <c r="S198" s="17" t="str">
        <f>IF(COUNTIF($A$2:A198,A198)&gt;1,"Duplicate","Unique")</f>
        <v>Unique</v>
      </c>
      <c r="T198" s="17" t="str">
        <f t="shared" si="20"/>
        <v>No</v>
      </c>
      <c r="U198" s="17" t="str">
        <f t="shared" si="21"/>
        <v>No</v>
      </c>
      <c r="V198" s="17" t="str">
        <f t="shared" si="22"/>
        <v>Yes</v>
      </c>
      <c r="W198" s="17" t="str">
        <f t="shared" si="23"/>
        <v>Nov-2025</v>
      </c>
    </row>
    <row r="199" spans="1:23" x14ac:dyDescent="0.3">
      <c r="A199" s="17" t="str">
        <f>TRIM(Raw_Data!A199)</f>
        <v>REQ-2025-0198</v>
      </c>
      <c r="B199" s="22">
        <f>IF(Raw_Data!B199="","",IF(ISNUMBER(Raw_Data!B199),Raw_Data!B199,IF(ISNUMBER(SEARCH("/",Raw_Data!B199)),IFERROR(DATE(VALUE(RIGHT(Raw_Data!B199,4)),VALUE(MID(Raw_Data!B199,4,2)),VALUE(LEFT(Raw_Data!B199,2))),"Invalid Date"),IFERROR(DATEVALUE(Raw_Data!B199),"Invalid Date"))))</f>
        <v>45760</v>
      </c>
      <c r="C199" s="17" t="str">
        <f>IF(TRIM(Raw_Data!C199)="","",PROPER(TRIM(Raw_Data!C199)))</f>
        <v>Unit B - Artillery</v>
      </c>
      <c r="D199" s="17" t="str">
        <f>IF(TRIM(Raw_Data!D199)="","Not Specified",IFERROR(INDEX(Lookup_Tables!$H$6:$H$12,MATCH(TRIM(Raw_Data!D199),Lookup_Tables!$G$6:$G$12,0)),"Unknown - Review"))</f>
        <v>Southern</v>
      </c>
      <c r="E199" s="17" t="str">
        <f>IF(TRIM(Raw_Data!E199)="","Not Specified",IFERROR(INDEX(Lookup_Tables!$B$6:$B$18,MATCH(TRIM(Raw_Data!E199),Lookup_Tables!$A$6:$A$18,0)),"Unknown - Review"))</f>
        <v>Medical Supplies</v>
      </c>
      <c r="F199" s="17" t="str">
        <f>IF(TRIM(Raw_Data!F199)="","",TRIM(Raw_Data!F199))</f>
        <v>Stretcher</v>
      </c>
      <c r="G199" s="17">
        <f>IF(Raw_Data!G199="","",IF(VALUE(Raw_Data!G199)&lt;=0,"Invalid",VALUE(Raw_Data!G199)))</f>
        <v>51</v>
      </c>
      <c r="H199" s="17">
        <f>IF(Raw_Data!H199="","",IF(VALUE(Raw_Data!H199)&lt;=0,"Invalid",VALUE(Raw_Data!H199)))</f>
        <v>39</v>
      </c>
      <c r="I199" s="23">
        <f>IFERROR(VALUE(SUBSTITUTE(SUBSTITUTE(Raw_Data!I199,"₹",""),",","")),"")</f>
        <v>26151.85</v>
      </c>
      <c r="J199" s="17" t="str">
        <f>IF(TRIM(Raw_Data!J199)="","Not Specified",PROPER(TRIM(Raw_Data!J199)))</f>
        <v>Low</v>
      </c>
      <c r="K199" s="17" t="str">
        <f>IF(TRIM(Raw_Data!K199)="","Not Specified",IFERROR(INDEX(Lookup_Tables!$E$6:$E$13,MATCH(TRIM(Raw_Data!K199),Lookup_Tables!$D$6:$D$13,0)),"Unknown - Review"))</f>
        <v>Not Specified</v>
      </c>
      <c r="L199" s="17" t="str">
        <f>IF(TRIM(Raw_Data!L199)="","",PROPER(TRIM(Raw_Data!L199)))</f>
        <v>Quartermaster</v>
      </c>
      <c r="M199" s="22">
        <f>IF(Raw_Data!M199="","",IF(ISNUMBER(Raw_Data!M199),Raw_Data!M199,IF(ISNUMBER(SEARCH("/",Raw_Data!M199)),IFERROR(DATE(VALUE(RIGHT(Raw_Data!M199,4)),VALUE(MID(Raw_Data!M199,4,2)),VALUE(LEFT(Raw_Data!M199,2))),"Invalid Date"),IFERROR(DATEVALUE(Raw_Data!M199),"Invalid Date"))))</f>
        <v>45766</v>
      </c>
      <c r="N199" s="22">
        <f>IF(Raw_Data!N199="","",IF(ISNUMBER(Raw_Data!N199),Raw_Data!N199,IF(ISNUMBER(SEARCH("/",Raw_Data!N199)),IFERROR(DATE(VALUE(RIGHT(Raw_Data!N199,4)),VALUE(MID(Raw_Data!N199,4,2)),VALUE(LEFT(Raw_Data!N199,2))),"Invalid Date"),IFERROR(DATEVALUE(Raw_Data!N199),"Invalid Date"))))</f>
        <v>45776</v>
      </c>
      <c r="O199" s="22" t="str">
        <f>IF(Raw_Data!O199="","",IF(ISNUMBER(Raw_Data!O199),Raw_Data!O199,IF(ISNUMBER(SEARCH("/",Raw_Data!O199)),IFERROR(DATE(VALUE(RIGHT(Raw_Data!O199,4)),VALUE(MID(Raw_Data!O199,4,2)),VALUE(LEFT(Raw_Data!O199,2))),"Invalid Date"),IFERROR(DATEVALUE(Raw_Data!O199),"Invalid Date"))))</f>
        <v/>
      </c>
      <c r="P199" s="17" t="str">
        <f>IF(OR(TRIM(Raw_Data!P199)="",TRIM(Raw_Data!P199)="N/A",TRIM(Raw_Data!P199)="TBD",TRIM(Raw_Data!P199)="-"),"Not Assigned",PROPER(TRIM(Raw_Data!P199)))</f>
        <v>Vikram Enterprises</v>
      </c>
      <c r="Q199" s="24">
        <f t="shared" si="18"/>
        <v>1019922.1499999999</v>
      </c>
      <c r="R199" s="17" t="str">
        <f t="shared" si="19"/>
        <v/>
      </c>
      <c r="S199" s="17" t="str">
        <f>IF(COUNTIF($A$2:A199,A199)&gt;1,"Duplicate","Unique")</f>
        <v>Unique</v>
      </c>
      <c r="T199" s="17" t="str">
        <f t="shared" si="20"/>
        <v>Yes</v>
      </c>
      <c r="U199" s="17" t="str">
        <f t="shared" si="21"/>
        <v>No</v>
      </c>
      <c r="V199" s="17" t="str">
        <f t="shared" si="22"/>
        <v>No</v>
      </c>
      <c r="W199" s="17" t="str">
        <f t="shared" si="23"/>
        <v>Apr-2025</v>
      </c>
    </row>
    <row r="200" spans="1:23" x14ac:dyDescent="0.3">
      <c r="A200" s="17" t="str">
        <f>TRIM(Raw_Data!A200)</f>
        <v>REQ-2025-0199</v>
      </c>
      <c r="B200" s="22">
        <f>IF(Raw_Data!B200="","",IF(ISNUMBER(Raw_Data!B200),Raw_Data!B200,IF(ISNUMBER(SEARCH("/",Raw_Data!B200)),IFERROR(DATE(VALUE(RIGHT(Raw_Data!B200,4)),VALUE(MID(Raw_Data!B200,4,2)),VALUE(LEFT(Raw_Data!B200,2))),"Invalid Date"),IFERROR(DATEVALUE(Raw_Data!B200),"Invalid Date"))))</f>
        <v>45839</v>
      </c>
      <c r="C200" s="17" t="str">
        <f>IF(TRIM(Raw_Data!C200)="","",PROPER(TRIM(Raw_Data!C200)))</f>
        <v>Unit C - Engineers</v>
      </c>
      <c r="D200" s="17" t="str">
        <f>IF(TRIM(Raw_Data!D200)="","Not Specified",IFERROR(INDEX(Lookup_Tables!$H$6:$H$12,MATCH(TRIM(Raw_Data!D200),Lookup_Tables!$G$6:$G$12,0)),"Unknown - Review"))</f>
        <v>Eastern</v>
      </c>
      <c r="E200" s="17" t="str">
        <f>IF(TRIM(Raw_Data!E200)="","Not Specified",IFERROR(INDEX(Lookup_Tables!$B$6:$B$18,MATCH(TRIM(Raw_Data!E200),Lookup_Tables!$A$6:$A$18,0)),"Unknown - Review"))</f>
        <v>Vehicle Spares</v>
      </c>
      <c r="F200" s="17" t="str">
        <f>IF(TRIM(Raw_Data!F200)="","",TRIM(Raw_Data!F200))</f>
        <v>Brake Pad Set</v>
      </c>
      <c r="G200" s="17">
        <f>IF(Raw_Data!G200="","",IF(VALUE(Raw_Data!G200)&lt;=0,"Invalid",VALUE(Raw_Data!G200)))</f>
        <v>268</v>
      </c>
      <c r="H200" s="17">
        <f>IF(Raw_Data!H200="","",IF(VALUE(Raw_Data!H200)&lt;=0,"Invalid",VALUE(Raw_Data!H200)))</f>
        <v>266</v>
      </c>
      <c r="I200" s="23">
        <f>IFERROR(VALUE(SUBSTITUTE(SUBSTITUTE(Raw_Data!I200,"₹",""),",","")),"")</f>
        <v>5694</v>
      </c>
      <c r="J200" s="17" t="str">
        <f>IF(TRIM(Raw_Data!J200)="","Not Specified",PROPER(TRIM(Raw_Data!J200)))</f>
        <v>Routine</v>
      </c>
      <c r="K200" s="17" t="str">
        <f>IF(TRIM(Raw_Data!K200)="","Not Specified",IFERROR(INDEX(Lookup_Tables!$E$6:$E$13,MATCH(TRIM(Raw_Data!K200),Lookup_Tables!$D$6:$D$13,0)),"Unknown - Review"))</f>
        <v>Delivered</v>
      </c>
      <c r="L200" s="17" t="str">
        <f>IF(TRIM(Raw_Data!L200)="","",PROPER(TRIM(Raw_Data!L200)))</f>
        <v>Logistics Officer</v>
      </c>
      <c r="M200" s="22">
        <f>IF(Raw_Data!M200="","",IF(ISNUMBER(Raw_Data!M200),Raw_Data!M200,IF(ISNUMBER(SEARCH("/",Raw_Data!M200)),IFERROR(DATE(VALUE(RIGHT(Raw_Data!M200,4)),VALUE(MID(Raw_Data!M200,4,2)),VALUE(LEFT(Raw_Data!M200,2))),"Invalid Date"),IFERROR(DATEVALUE(Raw_Data!M200),"Invalid Date"))))</f>
        <v>45841</v>
      </c>
      <c r="N200" s="22">
        <f>IF(Raw_Data!N200="","",IF(ISNUMBER(Raw_Data!N200),Raw_Data!N200,IF(ISNUMBER(SEARCH("/",Raw_Data!N200)),IFERROR(DATE(VALUE(RIGHT(Raw_Data!N200,4)),VALUE(MID(Raw_Data!N200,4,2)),VALUE(LEFT(Raw_Data!N200,2))),"Invalid Date"),IFERROR(DATEVALUE(Raw_Data!N200),"Invalid Date"))))</f>
        <v>45862</v>
      </c>
      <c r="O200" s="22" t="str">
        <f>IF(Raw_Data!O200="","",IF(ISNUMBER(Raw_Data!O200),Raw_Data!O200,IF(ISNUMBER(SEARCH("/",Raw_Data!O200)),IFERROR(DATE(VALUE(RIGHT(Raw_Data!O200,4)),VALUE(MID(Raw_Data!O200,4,2)),VALUE(LEFT(Raw_Data!O200,2))),"Invalid Date"),IFERROR(DATEVALUE(Raw_Data!O200),"Invalid Date"))))</f>
        <v/>
      </c>
      <c r="P200" s="17" t="str">
        <f>IF(OR(TRIM(Raw_Data!P200)="",TRIM(Raw_Data!P200)="N/A",TRIM(Raw_Data!P200)="TBD",TRIM(Raw_Data!P200)="-"),"Not Assigned",PROPER(TRIM(Raw_Data!P200)))</f>
        <v>Central Ordnance Suppliers</v>
      </c>
      <c r="Q200" s="24">
        <f t="shared" si="18"/>
        <v>1514604</v>
      </c>
      <c r="R200" s="17" t="str">
        <f t="shared" si="19"/>
        <v/>
      </c>
      <c r="S200" s="17" t="str">
        <f>IF(COUNTIF($A$2:A200,A200)&gt;1,"Duplicate","Unique")</f>
        <v>Unique</v>
      </c>
      <c r="T200" s="17" t="str">
        <f t="shared" si="20"/>
        <v>No</v>
      </c>
      <c r="U200" s="17" t="str">
        <f t="shared" si="21"/>
        <v>No</v>
      </c>
      <c r="V200" s="17" t="str">
        <f t="shared" si="22"/>
        <v>Yes</v>
      </c>
      <c r="W200" s="17" t="str">
        <f t="shared" si="23"/>
        <v>Jul-2025</v>
      </c>
    </row>
    <row r="201" spans="1:23" x14ac:dyDescent="0.3">
      <c r="A201" s="17" t="str">
        <f>TRIM(Raw_Data!A201)</f>
        <v>REQ-2025-0200</v>
      </c>
      <c r="B201" s="22" t="str">
        <f>IF(Raw_Data!B201="","",IF(ISNUMBER(Raw_Data!B201),Raw_Data!B201,IF(ISNUMBER(SEARCH("/",Raw_Data!B201)),IFERROR(DATE(VALUE(RIGHT(Raw_Data!B201,4)),VALUE(MID(Raw_Data!B201,4,2)),VALUE(LEFT(Raw_Data!B201,2))),"Invalid Date"),IFERROR(DATEVALUE(Raw_Data!B201),"Invalid Date"))))</f>
        <v/>
      </c>
      <c r="C201" s="17" t="str">
        <f>IF(TRIM(Raw_Data!C201)="","",PROPER(TRIM(Raw_Data!C201)))</f>
        <v>Unit F - Ordnance Depot</v>
      </c>
      <c r="D201" s="17" t="str">
        <f>IF(TRIM(Raw_Data!D201)="","Not Specified",IFERROR(INDEX(Lookup_Tables!$H$6:$H$12,MATCH(TRIM(Raw_Data!D201),Lookup_Tables!$G$6:$G$12,0)),"Unknown - Review"))</f>
        <v>Northern</v>
      </c>
      <c r="E201" s="17" t="str">
        <f>IF(TRIM(Raw_Data!E201)="","Not Specified",IFERROR(INDEX(Lookup_Tables!$B$6:$B$18,MATCH(TRIM(Raw_Data!E201),Lookup_Tables!$A$6:$A$18,0)),"Unknown - Review"))</f>
        <v>Office &amp; IT Equipment</v>
      </c>
      <c r="F201" s="17" t="str">
        <f>IF(TRIM(Raw_Data!F201)="","",TRIM(Raw_Data!F201))</f>
        <v>Desktop Computer</v>
      </c>
      <c r="G201" s="17">
        <f>IF(Raw_Data!G201="","",IF(VALUE(Raw_Data!G201)&lt;=0,"Invalid",VALUE(Raw_Data!G201)))</f>
        <v>78</v>
      </c>
      <c r="H201" s="17" t="str">
        <f>IF(Raw_Data!H201="","",IF(VALUE(Raw_Data!H201)&lt;=0,"Invalid",VALUE(Raw_Data!H201)))</f>
        <v/>
      </c>
      <c r="I201" s="23">
        <f>IFERROR(VALUE(SUBSTITUTE(SUBSTITUTE(Raw_Data!I201,"₹",""),",","")),"")</f>
        <v>43994.05</v>
      </c>
      <c r="J201" s="17" t="str">
        <f>IF(TRIM(Raw_Data!J201)="","Not Specified",PROPER(TRIM(Raw_Data!J201)))</f>
        <v>High</v>
      </c>
      <c r="K201" s="17" t="str">
        <f>IF(TRIM(Raw_Data!K201)="","Not Specified",IFERROR(INDEX(Lookup_Tables!$E$6:$E$13,MATCH(TRIM(Raw_Data!K201),Lookup_Tables!$D$6:$D$13,0)),"Unknown - Review"))</f>
        <v>Rejected</v>
      </c>
      <c r="L201" s="17" t="str">
        <f>IF(TRIM(Raw_Data!L201)="","",PROPER(TRIM(Raw_Data!L201)))</f>
        <v>Quartermaster</v>
      </c>
      <c r="M201" s="22" t="str">
        <f>IF(Raw_Data!M201="","",IF(ISNUMBER(Raw_Data!M201),Raw_Data!M201,IF(ISNUMBER(SEARCH("/",Raw_Data!M201)),IFERROR(DATE(VALUE(RIGHT(Raw_Data!M201,4)),VALUE(MID(Raw_Data!M201,4,2)),VALUE(LEFT(Raw_Data!M201,2))),"Invalid Date"),IFERROR(DATEVALUE(Raw_Data!M201),"Invalid Date"))))</f>
        <v/>
      </c>
      <c r="N201" s="22" t="str">
        <f>IF(Raw_Data!N201="","",IF(ISNUMBER(Raw_Data!N201),Raw_Data!N201,IF(ISNUMBER(SEARCH("/",Raw_Data!N201)),IFERROR(DATE(VALUE(RIGHT(Raw_Data!N201,4)),VALUE(MID(Raw_Data!N201,4,2)),VALUE(LEFT(Raw_Data!N201,2))),"Invalid Date"),IFERROR(DATEVALUE(Raw_Data!N201),"Invalid Date"))))</f>
        <v/>
      </c>
      <c r="O201" s="22" t="str">
        <f>IF(Raw_Data!O201="","",IF(ISNUMBER(Raw_Data!O201),Raw_Data!O201,IF(ISNUMBER(SEARCH("/",Raw_Data!O201)),IFERROR(DATE(VALUE(RIGHT(Raw_Data!O201,4)),VALUE(MID(Raw_Data!O201,4,2)),VALUE(LEFT(Raw_Data!O201,2))),"Invalid Date"),IFERROR(DATEVALUE(Raw_Data!O201),"Invalid Date"))))</f>
        <v/>
      </c>
      <c r="P201" s="17" t="str">
        <f>IF(OR(TRIM(Raw_Data!P201)="",TRIM(Raw_Data!P201)="N/A",TRIM(Raw_Data!P201)="TBD",TRIM(Raw_Data!P201)="-"),"Not Assigned",PROPER(TRIM(Raw_Data!P201)))</f>
        <v>National Defence Stores</v>
      </c>
      <c r="Q201" s="24" t="str">
        <f t="shared" si="18"/>
        <v/>
      </c>
      <c r="R201" s="17" t="str">
        <f t="shared" si="19"/>
        <v/>
      </c>
      <c r="S201" s="17" t="str">
        <f>IF(COUNTIF($A$2:A201,A201)&gt;1,"Duplicate","Unique")</f>
        <v>Unique</v>
      </c>
      <c r="T201" s="17" t="str">
        <f t="shared" si="20"/>
        <v>No</v>
      </c>
      <c r="U201" s="17" t="str">
        <f t="shared" si="21"/>
        <v>No</v>
      </c>
      <c r="V201" s="17" t="str">
        <f t="shared" si="22"/>
        <v>Yes</v>
      </c>
      <c r="W201" s="17" t="str">
        <f t="shared" si="23"/>
        <v/>
      </c>
    </row>
    <row r="202" spans="1:23" x14ac:dyDescent="0.3">
      <c r="A202" s="17" t="str">
        <f>TRIM(Raw_Data!A202)</f>
        <v>REQ-2025-0201</v>
      </c>
      <c r="B202" s="22">
        <f>IF(Raw_Data!B202="","",IF(ISNUMBER(Raw_Data!B202),Raw_Data!B202,IF(ISNUMBER(SEARCH("/",Raw_Data!B202)),IFERROR(DATE(VALUE(RIGHT(Raw_Data!B202,4)),VALUE(MID(Raw_Data!B202,4,2)),VALUE(LEFT(Raw_Data!B202,2))),"Invalid Date"),IFERROR(DATEVALUE(Raw_Data!B202),"Invalid Date"))))</f>
        <v>45919</v>
      </c>
      <c r="C202" s="17" t="str">
        <f>IF(TRIM(Raw_Data!C202)="","",PROPER(TRIM(Raw_Data!C202)))</f>
        <v>Unit H - Air Defence</v>
      </c>
      <c r="D202" s="17" t="str">
        <f>IF(TRIM(Raw_Data!D202)="","Not Specified",IFERROR(INDEX(Lookup_Tables!$H$6:$H$12,MATCH(TRIM(Raw_Data!D202),Lookup_Tables!$G$6:$G$12,0)),"Unknown - Review"))</f>
        <v>Eastern</v>
      </c>
      <c r="E202" s="17" t="str">
        <f>IF(TRIM(Raw_Data!E202)="","Not Specified",IFERROR(INDEX(Lookup_Tables!$B$6:$B$18,MATCH(TRIM(Raw_Data!E202),Lookup_Tables!$A$6:$A$18,0)),"Unknown - Review"))</f>
        <v>Construction Material</v>
      </c>
      <c r="F202" s="17" t="str">
        <f>IF(TRIM(Raw_Data!F202)="","",TRIM(Raw_Data!F202))</f>
        <v>Timber Plank Set</v>
      </c>
      <c r="G202" s="17">
        <f>IF(Raw_Data!G202="","",IF(VALUE(Raw_Data!G202)&lt;=0,"Invalid",VALUE(Raw_Data!G202)))</f>
        <v>67</v>
      </c>
      <c r="H202" s="17">
        <f>IF(Raw_Data!H202="","",IF(VALUE(Raw_Data!H202)&lt;=0,"Invalid",VALUE(Raw_Data!H202)))</f>
        <v>59</v>
      </c>
      <c r="I202" s="23">
        <f>IFERROR(VALUE(SUBSTITUTE(SUBSTITUTE(Raw_Data!I202,"₹",""),",","")),"")</f>
        <v>6187</v>
      </c>
      <c r="J202" s="17" t="str">
        <f>IF(TRIM(Raw_Data!J202)="","Not Specified",PROPER(TRIM(Raw_Data!J202)))</f>
        <v>Routine</v>
      </c>
      <c r="K202" s="17" t="str">
        <f>IF(TRIM(Raw_Data!K202)="","Not Specified",IFERROR(INDEX(Lookup_Tables!$E$6:$E$13,MATCH(TRIM(Raw_Data!K202),Lookup_Tables!$D$6:$D$13,0)),"Unknown - Review"))</f>
        <v>Approved</v>
      </c>
      <c r="L202" s="17" t="str">
        <f>IF(TRIM(Raw_Data!L202)="","",PROPER(TRIM(Raw_Data!L202)))</f>
        <v>Quartermaster</v>
      </c>
      <c r="M202" s="22">
        <f>IF(Raw_Data!M202="","",IF(ISNUMBER(Raw_Data!M202),Raw_Data!M202,IF(ISNUMBER(SEARCH("/",Raw_Data!M202)),IFERROR(DATE(VALUE(RIGHT(Raw_Data!M202,4)),VALUE(MID(Raw_Data!M202,4,2)),VALUE(LEFT(Raw_Data!M202,2))),"Invalid Date"),IFERROR(DATEVALUE(Raw_Data!M202),"Invalid Date"))))</f>
        <v>45921</v>
      </c>
      <c r="N202" s="22">
        <f>IF(Raw_Data!N202="","",IF(ISNUMBER(Raw_Data!N202),Raw_Data!N202,IF(ISNUMBER(SEARCH("/",Raw_Data!N202)),IFERROR(DATE(VALUE(RIGHT(Raw_Data!N202,4)),VALUE(MID(Raw_Data!N202,4,2)),VALUE(LEFT(Raw_Data!N202,2))),"Invalid Date"),IFERROR(DATEVALUE(Raw_Data!N202),"Invalid Date"))))</f>
        <v>45949</v>
      </c>
      <c r="O202" s="22" t="str">
        <f>IF(Raw_Data!O202="","",IF(ISNUMBER(Raw_Data!O202),Raw_Data!O202,IF(ISNUMBER(SEARCH("/",Raw_Data!O202)),IFERROR(DATE(VALUE(RIGHT(Raw_Data!O202,4)),VALUE(MID(Raw_Data!O202,4,2)),VALUE(LEFT(Raw_Data!O202,2))),"Invalid Date"),IFERROR(DATEVALUE(Raw_Data!O202),"Invalid Date"))))</f>
        <v/>
      </c>
      <c r="P202" s="17" t="str">
        <f>IF(OR(TRIM(Raw_Data!P202)="",TRIM(Raw_Data!P202)="N/A",TRIM(Raw_Data!P202)="TBD",TRIM(Raw_Data!P202)="-"),"Not Assigned",PROPER(TRIM(Raw_Data!P202)))</f>
        <v>Bharat Logistics Pvt Ltd</v>
      </c>
      <c r="Q202" s="24">
        <f t="shared" si="18"/>
        <v>365033</v>
      </c>
      <c r="R202" s="17" t="str">
        <f t="shared" si="19"/>
        <v/>
      </c>
      <c r="S202" s="17" t="str">
        <f>IF(COUNTIF($A$2:A202,A202)&gt;1,"Duplicate","Unique")</f>
        <v>Unique</v>
      </c>
      <c r="T202" s="17" t="str">
        <f t="shared" si="20"/>
        <v>No</v>
      </c>
      <c r="U202" s="17" t="str">
        <f t="shared" si="21"/>
        <v>No</v>
      </c>
      <c r="V202" s="17" t="str">
        <f t="shared" si="22"/>
        <v>Yes</v>
      </c>
      <c r="W202" s="17" t="str">
        <f t="shared" si="23"/>
        <v>Sep-2025</v>
      </c>
    </row>
    <row r="203" spans="1:23" x14ac:dyDescent="0.3">
      <c r="A203" s="17" t="str">
        <f>TRIM(Raw_Data!A203)</f>
        <v>REQ-2025-0202</v>
      </c>
      <c r="B203" s="22" t="str">
        <f>IF(Raw_Data!B203="","",IF(ISNUMBER(Raw_Data!B203),Raw_Data!B203,IF(ISNUMBER(SEARCH("/",Raw_Data!B203)),IFERROR(DATE(VALUE(RIGHT(Raw_Data!B203,4)),VALUE(MID(Raw_Data!B203,4,2)),VALUE(LEFT(Raw_Data!B203,2))),"Invalid Date"),IFERROR(DATEVALUE(Raw_Data!B203),"Invalid Date"))))</f>
        <v/>
      </c>
      <c r="C203" s="17" t="str">
        <f>IF(TRIM(Raw_Data!C203)="","",PROPER(TRIM(Raw_Data!C203)))</f>
        <v>Unit A - Infantry</v>
      </c>
      <c r="D203" s="17" t="str">
        <f>IF(TRIM(Raw_Data!D203)="","Not Specified",IFERROR(INDEX(Lookup_Tables!$H$6:$H$12,MATCH(TRIM(Raw_Data!D203),Lookup_Tables!$G$6:$G$12,0)),"Unknown - Review"))</f>
        <v>Northern</v>
      </c>
      <c r="E203" s="17" t="str">
        <f>IF(TRIM(Raw_Data!E203)="","Not Specified",IFERROR(INDEX(Lookup_Tables!$B$6:$B$18,MATCH(TRIM(Raw_Data!E203),Lookup_Tables!$A$6:$A$18,0)),"Unknown - Review"))</f>
        <v>Construction Material</v>
      </c>
      <c r="F203" s="17" t="str">
        <f>IF(TRIM(Raw_Data!F203)="","",TRIM(Raw_Data!F203))</f>
        <v>Cement Bag (50kg)</v>
      </c>
      <c r="G203" s="17" t="str">
        <f>IF(Raw_Data!G203="","",IF(VALUE(Raw_Data!G203)&lt;=0,"Invalid",VALUE(Raw_Data!G203)))</f>
        <v>Invalid</v>
      </c>
      <c r="H203" s="17">
        <f>IF(Raw_Data!H203="","",IF(VALUE(Raw_Data!H203)&lt;=0,"Invalid",VALUE(Raw_Data!H203)))</f>
        <v>215</v>
      </c>
      <c r="I203" s="23">
        <f>IFERROR(VALUE(SUBSTITUTE(SUBSTITUTE(Raw_Data!I203,"₹",""),",","")),"")</f>
        <v>35105.300000000003</v>
      </c>
      <c r="J203" s="17" t="str">
        <f>IF(TRIM(Raw_Data!J203)="","Not Specified",PROPER(TRIM(Raw_Data!J203)))</f>
        <v>Routine</v>
      </c>
      <c r="K203" s="17" t="str">
        <f>IF(TRIM(Raw_Data!K203)="","Not Specified",IFERROR(INDEX(Lookup_Tables!$E$6:$E$13,MATCH(TRIM(Raw_Data!K203),Lookup_Tables!$D$6:$D$13,0)),"Unknown - Review"))</f>
        <v>Dispatched</v>
      </c>
      <c r="L203" s="17" t="str">
        <f>IF(TRIM(Raw_Data!L203)="","",PROPER(TRIM(Raw_Data!L203)))</f>
        <v>Unit Commander</v>
      </c>
      <c r="M203" s="22">
        <f>IF(Raw_Data!M203="","",IF(ISNUMBER(Raw_Data!M203),Raw_Data!M203,IF(ISNUMBER(SEARCH("/",Raw_Data!M203)),IFERROR(DATE(VALUE(RIGHT(Raw_Data!M203,4)),VALUE(MID(Raw_Data!M203,4,2)),VALUE(LEFT(Raw_Data!M203,2))),"Invalid Date"),IFERROR(DATEVALUE(Raw_Data!M203),"Invalid Date"))))</f>
        <v>45857</v>
      </c>
      <c r="N203" s="22">
        <f>IF(Raw_Data!N203="","",IF(ISNUMBER(Raw_Data!N203),Raw_Data!N203,IF(ISNUMBER(SEARCH("/",Raw_Data!N203)),IFERROR(DATE(VALUE(RIGHT(Raw_Data!N203,4)),VALUE(MID(Raw_Data!N203,4,2)),VALUE(LEFT(Raw_Data!N203,2))),"Invalid Date"),IFERROR(DATEVALUE(Raw_Data!N203),"Invalid Date"))))</f>
        <v>45877</v>
      </c>
      <c r="O203" s="22" t="str">
        <f>IF(Raw_Data!O203="","",IF(ISNUMBER(Raw_Data!O203),Raw_Data!O203,IF(ISNUMBER(SEARCH("/",Raw_Data!O203)),IFERROR(DATE(VALUE(RIGHT(Raw_Data!O203,4)),VALUE(MID(Raw_Data!O203,4,2)),VALUE(LEFT(Raw_Data!O203,2))),"Invalid Date"),IFERROR(DATEVALUE(Raw_Data!O203),"Invalid Date"))))</f>
        <v/>
      </c>
      <c r="P203" s="17" t="str">
        <f>IF(OR(TRIM(Raw_Data!P203)="",TRIM(Raw_Data!P203)="N/A",TRIM(Raw_Data!P203)="TBD",TRIM(Raw_Data!P203)="-"),"Not Assigned",PROPER(TRIM(Raw_Data!P203)))</f>
        <v>Rapid Vendors Ltd</v>
      </c>
      <c r="Q203" s="24">
        <f t="shared" si="18"/>
        <v>7547639.5000000009</v>
      </c>
      <c r="R203" s="17" t="str">
        <f t="shared" si="19"/>
        <v/>
      </c>
      <c r="S203" s="17" t="str">
        <f>IF(COUNTIF($A$2:A203,A203)&gt;1,"Duplicate","Unique")</f>
        <v>Unique</v>
      </c>
      <c r="T203" s="17" t="str">
        <f t="shared" si="20"/>
        <v>No</v>
      </c>
      <c r="U203" s="17" t="str">
        <f t="shared" si="21"/>
        <v>No</v>
      </c>
      <c r="V203" s="17" t="str">
        <f t="shared" si="22"/>
        <v>No</v>
      </c>
      <c r="W203" s="17" t="str">
        <f t="shared" si="23"/>
        <v/>
      </c>
    </row>
    <row r="204" spans="1:23" x14ac:dyDescent="0.3">
      <c r="A204" s="17" t="str">
        <f>TRIM(Raw_Data!A204)</f>
        <v>REQ-2025-0203</v>
      </c>
      <c r="B204" s="22">
        <f>IF(Raw_Data!B204="","",IF(ISNUMBER(Raw_Data!B204),Raw_Data!B204,IF(ISNUMBER(SEARCH("/",Raw_Data!B204)),IFERROR(DATE(VALUE(RIGHT(Raw_Data!B204,4)),VALUE(MID(Raw_Data!B204,4,2)),VALUE(LEFT(Raw_Data!B204,2))),"Invalid Date"),IFERROR(DATEVALUE(Raw_Data!B204),"Invalid Date"))))</f>
        <v>45845</v>
      </c>
      <c r="C204" s="17" t="str">
        <f>IF(TRIM(Raw_Data!C204)="","",PROPER(TRIM(Raw_Data!C204)))</f>
        <v>Unit F - Ordnance Depot</v>
      </c>
      <c r="D204" s="17" t="str">
        <f>IF(TRIM(Raw_Data!D204)="","Not Specified",IFERROR(INDEX(Lookup_Tables!$H$6:$H$12,MATCH(TRIM(Raw_Data!D204),Lookup_Tables!$G$6:$G$12,0)),"Unknown - Review"))</f>
        <v>Northern</v>
      </c>
      <c r="E204" s="17" t="str">
        <f>IF(TRIM(Raw_Data!E204)="","Not Specified",IFERROR(INDEX(Lookup_Tables!$B$6:$B$18,MATCH(TRIM(Raw_Data!E204),Lookup_Tables!$A$6:$A$18,0)),"Unknown - Review"))</f>
        <v>Rations</v>
      </c>
      <c r="F204" s="17" t="str">
        <f>IF(TRIM(Raw_Data!F204)="","",TRIM(Raw_Data!F204))</f>
        <v>Canned Vegetables</v>
      </c>
      <c r="G204" s="17">
        <f>IF(Raw_Data!G204="","",IF(VALUE(Raw_Data!G204)&lt;=0,"Invalid",VALUE(Raw_Data!G204)))</f>
        <v>199</v>
      </c>
      <c r="H204" s="17">
        <f>IF(Raw_Data!H204="","",IF(VALUE(Raw_Data!H204)&lt;=0,"Invalid",VALUE(Raw_Data!H204)))</f>
        <v>160</v>
      </c>
      <c r="I204" s="23" t="str">
        <f>IFERROR(VALUE(SUBSTITUTE(SUBSTITUTE(Raw_Data!I204,"₹",""),",","")),"")</f>
        <v/>
      </c>
      <c r="J204" s="17" t="str">
        <f>IF(TRIM(Raw_Data!J204)="","Not Specified",PROPER(TRIM(Raw_Data!J204)))</f>
        <v>High</v>
      </c>
      <c r="K204" s="17" t="str">
        <f>IF(TRIM(Raw_Data!K204)="","Not Specified",IFERROR(INDEX(Lookup_Tables!$E$6:$E$13,MATCH(TRIM(Raw_Data!K204),Lookup_Tables!$D$6:$D$13,0)),"Unknown - Review"))</f>
        <v>Approved</v>
      </c>
      <c r="L204" s="17" t="str">
        <f>IF(TRIM(Raw_Data!L204)="","",PROPER(TRIM(Raw_Data!L204)))</f>
        <v>Stores Officer</v>
      </c>
      <c r="M204" s="22">
        <f>IF(Raw_Data!M204="","",IF(ISNUMBER(Raw_Data!M204),Raw_Data!M204,IF(ISNUMBER(SEARCH("/",Raw_Data!M204)),IFERROR(DATE(VALUE(RIGHT(Raw_Data!M204,4)),VALUE(MID(Raw_Data!M204,4,2)),VALUE(LEFT(Raw_Data!M204,2))),"Invalid Date"),IFERROR(DATEVALUE(Raw_Data!M204),"Invalid Date"))))</f>
        <v>45849</v>
      </c>
      <c r="N204" s="22">
        <f>IF(Raw_Data!N204="","",IF(ISNUMBER(Raw_Data!N204),Raw_Data!N204,IF(ISNUMBER(SEARCH("/",Raw_Data!N204)),IFERROR(DATE(VALUE(RIGHT(Raw_Data!N204,4)),VALUE(MID(Raw_Data!N204,4,2)),VALUE(LEFT(Raw_Data!N204,2))),"Invalid Date"),IFERROR(DATEVALUE(Raw_Data!N204),"Invalid Date"))))</f>
        <v>45861</v>
      </c>
      <c r="O204" s="22" t="str">
        <f>IF(Raw_Data!O204="","",IF(ISNUMBER(Raw_Data!O204),Raw_Data!O204,IF(ISNUMBER(SEARCH("/",Raw_Data!O204)),IFERROR(DATE(VALUE(RIGHT(Raw_Data!O204,4)),VALUE(MID(Raw_Data!O204,4,2)),VALUE(LEFT(Raw_Data!O204,2))),"Invalid Date"),IFERROR(DATEVALUE(Raw_Data!O204),"Invalid Date"))))</f>
        <v/>
      </c>
      <c r="P204" s="17" t="str">
        <f>IF(OR(TRIM(Raw_Data!P204)="",TRIM(Raw_Data!P204)="N/A",TRIM(Raw_Data!P204)="TBD",TRIM(Raw_Data!P204)="-"),"Not Assigned",PROPER(TRIM(Raw_Data!P204)))</f>
        <v>Vikram Enterprises</v>
      </c>
      <c r="Q204" s="24" t="str">
        <f t="shared" si="18"/>
        <v/>
      </c>
      <c r="R204" s="17" t="str">
        <f t="shared" si="19"/>
        <v/>
      </c>
      <c r="S204" s="17" t="str">
        <f>IF(COUNTIF($A$2:A204,A204)&gt;1,"Duplicate","Unique")</f>
        <v>Unique</v>
      </c>
      <c r="T204" s="17" t="str">
        <f t="shared" si="20"/>
        <v>No</v>
      </c>
      <c r="U204" s="17" t="str">
        <f t="shared" si="21"/>
        <v>No</v>
      </c>
      <c r="V204" s="17" t="str">
        <f t="shared" si="22"/>
        <v>Yes</v>
      </c>
      <c r="W204" s="17" t="str">
        <f t="shared" si="23"/>
        <v>Jul-2025</v>
      </c>
    </row>
    <row r="205" spans="1:23" x14ac:dyDescent="0.3">
      <c r="A205" s="17" t="str">
        <f>TRIM(Raw_Data!A205)</f>
        <v>REQ-2025-0204</v>
      </c>
      <c r="B205" s="22">
        <f>IF(Raw_Data!B205="","",IF(ISNUMBER(Raw_Data!B205),Raw_Data!B205,IF(ISNUMBER(SEARCH("/",Raw_Data!B205)),IFERROR(DATE(VALUE(RIGHT(Raw_Data!B205,4)),VALUE(MID(Raw_Data!B205,4,2)),VALUE(LEFT(Raw_Data!B205,2))),"Invalid Date"),IFERROR(DATEVALUE(Raw_Data!B205),"Invalid Date"))))</f>
        <v>45709</v>
      </c>
      <c r="C205" s="17" t="str">
        <f>IF(TRIM(Raw_Data!C205)="","",PROPER(TRIM(Raw_Data!C205)))</f>
        <v>Unit G - Transport Corps</v>
      </c>
      <c r="D205" s="17" t="str">
        <f>IF(TRIM(Raw_Data!D205)="","Not Specified",IFERROR(INDEX(Lookup_Tables!$H$6:$H$12,MATCH(TRIM(Raw_Data!D205),Lookup_Tables!$G$6:$G$12,0)),"Unknown - Review"))</f>
        <v>Southern</v>
      </c>
      <c r="E205" s="17" t="str">
        <f>IF(TRIM(Raw_Data!E205)="","Not Specified",IFERROR(INDEX(Lookup_Tables!$B$6:$B$18,MATCH(TRIM(Raw_Data!E205),Lookup_Tables!$A$6:$A$18,0)),"Unknown - Review"))</f>
        <v>Vehicle Spares</v>
      </c>
      <c r="F205" s="17" t="str">
        <f>IF(TRIM(Raw_Data!F205)="","",TRIM(Raw_Data!F205))</f>
        <v>Radiator Assembly</v>
      </c>
      <c r="G205" s="17">
        <f>IF(Raw_Data!G205="","",IF(VALUE(Raw_Data!G205)&lt;=0,"Invalid",VALUE(Raw_Data!G205)))</f>
        <v>259</v>
      </c>
      <c r="H205" s="17">
        <f>IF(Raw_Data!H205="","",IF(VALUE(Raw_Data!H205)&lt;=0,"Invalid",VALUE(Raw_Data!H205)))</f>
        <v>207</v>
      </c>
      <c r="I205" s="23">
        <f>IFERROR(VALUE(SUBSTITUTE(SUBSTITUTE(Raw_Data!I205,"₹",""),",","")),"")</f>
        <v>27725.03</v>
      </c>
      <c r="J205" s="17" t="str">
        <f>IF(TRIM(Raw_Data!J205)="","Not Specified",PROPER(TRIM(Raw_Data!J205)))</f>
        <v>Medium</v>
      </c>
      <c r="K205" s="17" t="str">
        <f>IF(TRIM(Raw_Data!K205)="","Not Specified",IFERROR(INDEX(Lookup_Tables!$E$6:$E$13,MATCH(TRIM(Raw_Data!K205),Lookup_Tables!$D$6:$D$13,0)),"Unknown - Review"))</f>
        <v>Delivered</v>
      </c>
      <c r="L205" s="17" t="str">
        <f>IF(TRIM(Raw_Data!L205)="","",PROPER(TRIM(Raw_Data!L205)))</f>
        <v>Stores Officer</v>
      </c>
      <c r="M205" s="22">
        <f>IF(Raw_Data!M205="","",IF(ISNUMBER(Raw_Data!M205),Raw_Data!M205,IF(ISNUMBER(SEARCH("/",Raw_Data!M205)),IFERROR(DATE(VALUE(RIGHT(Raw_Data!M205,4)),VALUE(MID(Raw_Data!M205,4,2)),VALUE(LEFT(Raw_Data!M205,2))),"Invalid Date"),IFERROR(DATEVALUE(Raw_Data!M205),"Invalid Date"))))</f>
        <v>45715</v>
      </c>
      <c r="N205" s="22">
        <f>IF(Raw_Data!N205="","",IF(ISNUMBER(Raw_Data!N205),Raw_Data!N205,IF(ISNUMBER(SEARCH("/",Raw_Data!N205)),IFERROR(DATE(VALUE(RIGHT(Raw_Data!N205,4)),VALUE(MID(Raw_Data!N205,4,2)),VALUE(LEFT(Raw_Data!N205,2))),"Invalid Date"),IFERROR(DATEVALUE(Raw_Data!N205),"Invalid Date"))))</f>
        <v>45733</v>
      </c>
      <c r="O205" s="22">
        <f>IF(Raw_Data!O205="","",IF(ISNUMBER(Raw_Data!O205),Raw_Data!O205,IF(ISNUMBER(SEARCH("/",Raw_Data!O205)),IFERROR(DATE(VALUE(RIGHT(Raw_Data!O205,4)),VALUE(MID(Raw_Data!O205,4,2)),VALUE(LEFT(Raw_Data!O205,2))),"Invalid Date"),IFERROR(DATEVALUE(Raw_Data!O205),"Invalid Date"))))</f>
        <v>45734</v>
      </c>
      <c r="P205" s="17" t="str">
        <f>IF(OR(TRIM(Raw_Data!P205)="",TRIM(Raw_Data!P205)="N/A",TRIM(Raw_Data!P205)="TBD",TRIM(Raw_Data!P205)="-"),"Not Assigned",PROPER(TRIM(Raw_Data!P205)))</f>
        <v>Central Ordnance Suppliers</v>
      </c>
      <c r="Q205" s="24">
        <f t="shared" si="18"/>
        <v>5739081.21</v>
      </c>
      <c r="R205" s="17">
        <f t="shared" si="19"/>
        <v>1</v>
      </c>
      <c r="S205" s="17" t="str">
        <f>IF(COUNTIF($A$2:A205,A205)&gt;1,"Duplicate","Unique")</f>
        <v>Unique</v>
      </c>
      <c r="T205" s="17" t="str">
        <f t="shared" si="20"/>
        <v>No</v>
      </c>
      <c r="U205" s="17" t="str">
        <f t="shared" si="21"/>
        <v>No</v>
      </c>
      <c r="V205" s="17" t="str">
        <f t="shared" si="22"/>
        <v>Yes</v>
      </c>
      <c r="W205" s="17" t="str">
        <f t="shared" si="23"/>
        <v>Feb-2025</v>
      </c>
    </row>
    <row r="206" spans="1:23" x14ac:dyDescent="0.3">
      <c r="A206" s="17" t="str">
        <f>TRIM(Raw_Data!A206)</f>
        <v>REQ-2025-0205</v>
      </c>
      <c r="B206" s="22">
        <f>IF(Raw_Data!B206="","",IF(ISNUMBER(Raw_Data!B206),Raw_Data!B206,IF(ISNUMBER(SEARCH("/",Raw_Data!B206)),IFERROR(DATE(VALUE(RIGHT(Raw_Data!B206,4)),VALUE(MID(Raw_Data!B206,4,2)),VALUE(LEFT(Raw_Data!B206,2))),"Invalid Date"),IFERROR(DATEVALUE(Raw_Data!B206),"Invalid Date"))))</f>
        <v>45811</v>
      </c>
      <c r="C206" s="17" t="str">
        <f>IF(TRIM(Raw_Data!C206)="","",PROPER(TRIM(Raw_Data!C206)))</f>
        <v>Unit B - Artillery</v>
      </c>
      <c r="D206" s="17" t="str">
        <f>IF(TRIM(Raw_Data!D206)="","Not Specified",IFERROR(INDEX(Lookup_Tables!$H$6:$H$12,MATCH(TRIM(Raw_Data!D206),Lookup_Tables!$G$6:$G$12,0)),"Unknown - Review"))</f>
        <v>Southern</v>
      </c>
      <c r="E206" s="17" t="str">
        <f>IF(TRIM(Raw_Data!E206)="","Not Specified",IFERROR(INDEX(Lookup_Tables!$B$6:$B$18,MATCH(TRIM(Raw_Data!E206),Lookup_Tables!$A$6:$A$18,0)),"Unknown - Review"))</f>
        <v>Communication Equipment</v>
      </c>
      <c r="F206" s="17" t="str">
        <f>IF(TRIM(Raw_Data!F206)="","",TRIM(Raw_Data!F206))</f>
        <v>Headset Set</v>
      </c>
      <c r="G206" s="17">
        <f>IF(Raw_Data!G206="","",IF(VALUE(Raw_Data!G206)&lt;=0,"Invalid",VALUE(Raw_Data!G206)))</f>
        <v>217</v>
      </c>
      <c r="H206" s="17" t="str">
        <f>IF(Raw_Data!H206="","",IF(VALUE(Raw_Data!H206)&lt;=0,"Invalid",VALUE(Raw_Data!H206)))</f>
        <v/>
      </c>
      <c r="I206" s="23">
        <f>IFERROR(VALUE(SUBSTITUTE(SUBSTITUTE(Raw_Data!I206,"₹",""),",","")),"")</f>
        <v>20477.3</v>
      </c>
      <c r="J206" s="17" t="str">
        <f>IF(TRIM(Raw_Data!J206)="","Not Specified",PROPER(TRIM(Raw_Data!J206)))</f>
        <v>Low</v>
      </c>
      <c r="K206" s="17" t="str">
        <f>IF(TRIM(Raw_Data!K206)="","Not Specified",IFERROR(INDEX(Lookup_Tables!$E$6:$E$13,MATCH(TRIM(Raw_Data!K206),Lookup_Tables!$D$6:$D$13,0)),"Unknown - Review"))</f>
        <v>Rejected</v>
      </c>
      <c r="L206" s="17" t="str">
        <f>IF(TRIM(Raw_Data!L206)="","",PROPER(TRIM(Raw_Data!L206)))</f>
        <v>Logistics Officer</v>
      </c>
      <c r="M206" s="22" t="str">
        <f>IF(Raw_Data!M206="","",IF(ISNUMBER(Raw_Data!M206),Raw_Data!M206,IF(ISNUMBER(SEARCH("/",Raw_Data!M206)),IFERROR(DATE(VALUE(RIGHT(Raw_Data!M206,4)),VALUE(MID(Raw_Data!M206,4,2)),VALUE(LEFT(Raw_Data!M206,2))),"Invalid Date"),IFERROR(DATEVALUE(Raw_Data!M206),"Invalid Date"))))</f>
        <v/>
      </c>
      <c r="N206" s="22" t="str">
        <f>IF(Raw_Data!N206="","",IF(ISNUMBER(Raw_Data!N206),Raw_Data!N206,IF(ISNUMBER(SEARCH("/",Raw_Data!N206)),IFERROR(DATE(VALUE(RIGHT(Raw_Data!N206,4)),VALUE(MID(Raw_Data!N206,4,2)),VALUE(LEFT(Raw_Data!N206,2))),"Invalid Date"),IFERROR(DATEVALUE(Raw_Data!N206),"Invalid Date"))))</f>
        <v/>
      </c>
      <c r="O206" s="22" t="str">
        <f>IF(Raw_Data!O206="","",IF(ISNUMBER(Raw_Data!O206),Raw_Data!O206,IF(ISNUMBER(SEARCH("/",Raw_Data!O206)),IFERROR(DATE(VALUE(RIGHT(Raw_Data!O206,4)),VALUE(MID(Raw_Data!O206,4,2)),VALUE(LEFT(Raw_Data!O206,2))),"Invalid Date"),IFERROR(DATEVALUE(Raw_Data!O206),"Invalid Date"))))</f>
        <v/>
      </c>
      <c r="P206" s="17" t="str">
        <f>IF(OR(TRIM(Raw_Data!P206)="",TRIM(Raw_Data!P206)="N/A",TRIM(Raw_Data!P206)="TBD",TRIM(Raw_Data!P206)="-"),"Not Assigned",PROPER(TRIM(Raw_Data!P206)))</f>
        <v>National Defence Stores</v>
      </c>
      <c r="Q206" s="24" t="str">
        <f t="shared" si="18"/>
        <v/>
      </c>
      <c r="R206" s="17" t="str">
        <f t="shared" si="19"/>
        <v/>
      </c>
      <c r="S206" s="17" t="str">
        <f>IF(COUNTIF($A$2:A206,A206)&gt;1,"Duplicate","Unique")</f>
        <v>Unique</v>
      </c>
      <c r="T206" s="17" t="str">
        <f t="shared" si="20"/>
        <v>No</v>
      </c>
      <c r="U206" s="17" t="str">
        <f t="shared" si="21"/>
        <v>No</v>
      </c>
      <c r="V206" s="17" t="str">
        <f t="shared" si="22"/>
        <v>Yes</v>
      </c>
      <c r="W206" s="17" t="str">
        <f t="shared" si="23"/>
        <v>Jun-2025</v>
      </c>
    </row>
    <row r="207" spans="1:23" x14ac:dyDescent="0.3">
      <c r="A207" s="17" t="str">
        <f>TRIM(Raw_Data!A207)</f>
        <v>REQ-2025-0206</v>
      </c>
      <c r="B207" s="22">
        <f>IF(Raw_Data!B207="","",IF(ISNUMBER(Raw_Data!B207),Raw_Data!B207,IF(ISNUMBER(SEARCH("/",Raw_Data!B207)),IFERROR(DATE(VALUE(RIGHT(Raw_Data!B207,4)),VALUE(MID(Raw_Data!B207,4,2)),VALUE(LEFT(Raw_Data!B207,2))),"Invalid Date"),IFERROR(DATEVALUE(Raw_Data!B207),"Invalid Date"))))</f>
        <v>45733</v>
      </c>
      <c r="C207" s="17" t="str">
        <f>IF(TRIM(Raw_Data!C207)="","",PROPER(TRIM(Raw_Data!C207)))</f>
        <v>Unit A - Infantry</v>
      </c>
      <c r="D207" s="17" t="str">
        <f>IF(TRIM(Raw_Data!D207)="","Not Specified",IFERROR(INDEX(Lookup_Tables!$H$6:$H$12,MATCH(TRIM(Raw_Data!D207),Lookup_Tables!$G$6:$G$12,0)),"Unknown - Review"))</f>
        <v>Northern</v>
      </c>
      <c r="E207" s="17" t="str">
        <f>IF(TRIM(Raw_Data!E207)="","Not Specified",IFERROR(INDEX(Lookup_Tables!$B$6:$B$18,MATCH(TRIM(Raw_Data!E207),Lookup_Tables!$A$6:$A$18,0)),"Unknown - Review"))</f>
        <v>Fuel &amp; Lubricants</v>
      </c>
      <c r="F207" s="17" t="str">
        <f>IF(TRIM(Raw_Data!F207)="","",TRIM(Raw_Data!F207))</f>
        <v>Hydraulic Fluid (20L)</v>
      </c>
      <c r="G207" s="17">
        <f>IF(Raw_Data!G207="","",IF(VALUE(Raw_Data!G207)&lt;=0,"Invalid",VALUE(Raw_Data!G207)))</f>
        <v>215</v>
      </c>
      <c r="H207" s="17">
        <f>IF(Raw_Data!H207="","",IF(VALUE(Raw_Data!H207)&lt;=0,"Invalid",VALUE(Raw_Data!H207)))</f>
        <v>154</v>
      </c>
      <c r="I207" s="23">
        <f>IFERROR(VALUE(SUBSTITUTE(SUBSTITUTE(Raw_Data!I207,"₹",""),",","")),"")</f>
        <v>9280</v>
      </c>
      <c r="J207" s="17" t="str">
        <f>IF(TRIM(Raw_Data!J207)="","Not Specified",PROPER(TRIM(Raw_Data!J207)))</f>
        <v>Low</v>
      </c>
      <c r="K207" s="17" t="str">
        <f>IF(TRIM(Raw_Data!K207)="","Not Specified",IFERROR(INDEX(Lookup_Tables!$E$6:$E$13,MATCH(TRIM(Raw_Data!K207),Lookup_Tables!$D$6:$D$13,0)),"Unknown - Review"))</f>
        <v>Approved</v>
      </c>
      <c r="L207" s="17" t="str">
        <f>IF(TRIM(Raw_Data!L207)="","",PROPER(TRIM(Raw_Data!L207)))</f>
        <v>Unit Commander</v>
      </c>
      <c r="M207" s="22">
        <f>IF(Raw_Data!M207="","",IF(ISNUMBER(Raw_Data!M207),Raw_Data!M207,IF(ISNUMBER(SEARCH("/",Raw_Data!M207)),IFERROR(DATE(VALUE(RIGHT(Raw_Data!M207,4)),VALUE(MID(Raw_Data!M207,4,2)),VALUE(LEFT(Raw_Data!M207,2))),"Invalid Date"),IFERROR(DATEVALUE(Raw_Data!M207),"Invalid Date"))))</f>
        <v>45740</v>
      </c>
      <c r="N207" s="22" t="str">
        <f>IF(Raw_Data!N207="","",IF(ISNUMBER(Raw_Data!N207),Raw_Data!N207,IF(ISNUMBER(SEARCH("/",Raw_Data!N207)),IFERROR(DATE(VALUE(RIGHT(Raw_Data!N207,4)),VALUE(MID(Raw_Data!N207,4,2)),VALUE(LEFT(Raw_Data!N207,2))),"Invalid Date"),IFERROR(DATEVALUE(Raw_Data!N207),"Invalid Date"))))</f>
        <v/>
      </c>
      <c r="O207" s="22" t="str">
        <f>IF(Raw_Data!O207="","",IF(ISNUMBER(Raw_Data!O207),Raw_Data!O207,IF(ISNUMBER(SEARCH("/",Raw_Data!O207)),IFERROR(DATE(VALUE(RIGHT(Raw_Data!O207,4)),VALUE(MID(Raw_Data!O207,4,2)),VALUE(LEFT(Raw_Data!O207,2))),"Invalid Date"),IFERROR(DATEVALUE(Raw_Data!O207),"Invalid Date"))))</f>
        <v/>
      </c>
      <c r="P207" s="17" t="str">
        <f>IF(OR(TRIM(Raw_Data!P207)="",TRIM(Raw_Data!P207)="N/A",TRIM(Raw_Data!P207)="TBD",TRIM(Raw_Data!P207)="-"),"Not Assigned",PROPER(TRIM(Raw_Data!P207)))</f>
        <v>Shakti Traders</v>
      </c>
      <c r="Q207" s="24">
        <f t="shared" si="18"/>
        <v>1429120</v>
      </c>
      <c r="R207" s="17" t="str">
        <f t="shared" si="19"/>
        <v/>
      </c>
      <c r="S207" s="17" t="str">
        <f>IF(COUNTIF($A$2:A207,A207)&gt;1,"Duplicate","Unique")</f>
        <v>Unique</v>
      </c>
      <c r="T207" s="17" t="str">
        <f t="shared" si="20"/>
        <v>No</v>
      </c>
      <c r="U207" s="17" t="str">
        <f t="shared" si="21"/>
        <v>No</v>
      </c>
      <c r="V207" s="17" t="str">
        <f t="shared" si="22"/>
        <v>Yes</v>
      </c>
      <c r="W207" s="17" t="str">
        <f t="shared" si="23"/>
        <v>Mar-2025</v>
      </c>
    </row>
    <row r="208" spans="1:23" x14ac:dyDescent="0.3">
      <c r="A208" s="17" t="str">
        <f>TRIM(Raw_Data!A208)</f>
        <v>REQ-2025-0207</v>
      </c>
      <c r="B208" s="22">
        <f>IF(Raw_Data!B208="","",IF(ISNUMBER(Raw_Data!B208),Raw_Data!B208,IF(ISNUMBER(SEARCH("/",Raw_Data!B208)),IFERROR(DATE(VALUE(RIGHT(Raw_Data!B208,4)),VALUE(MID(Raw_Data!B208,4,2)),VALUE(LEFT(Raw_Data!B208,2))),"Invalid Date"),IFERROR(DATEVALUE(Raw_Data!B208),"Invalid Date"))))</f>
        <v>45668</v>
      </c>
      <c r="C208" s="17" t="str">
        <f>IF(TRIM(Raw_Data!C208)="","",PROPER(TRIM(Raw_Data!C208)))</f>
        <v>Unit C - Engineers</v>
      </c>
      <c r="D208" s="17" t="str">
        <f>IF(TRIM(Raw_Data!D208)="","Not Specified",IFERROR(INDEX(Lookup_Tables!$H$6:$H$12,MATCH(TRIM(Raw_Data!D208),Lookup_Tables!$G$6:$G$12,0)),"Unknown - Review"))</f>
        <v>Eastern</v>
      </c>
      <c r="E208" s="17" t="str">
        <f>IF(TRIM(Raw_Data!E208)="","Not Specified",IFERROR(INDEX(Lookup_Tables!$B$6:$B$18,MATCH(TRIM(Raw_Data!E208),Lookup_Tables!$A$6:$A$18,0)),"Unknown - Review"))</f>
        <v>Rations</v>
      </c>
      <c r="F208" s="17" t="str">
        <f>IF(TRIM(Raw_Data!F208)="","",TRIM(Raw_Data!F208))</f>
        <v>Wheat Flour (50kg bag)</v>
      </c>
      <c r="G208" s="17">
        <f>IF(Raw_Data!G208="","",IF(VALUE(Raw_Data!G208)&lt;=0,"Invalid",VALUE(Raw_Data!G208)))</f>
        <v>313</v>
      </c>
      <c r="H208" s="17" t="str">
        <f>IF(Raw_Data!H208="","",IF(VALUE(Raw_Data!H208)&lt;=0,"Invalid",VALUE(Raw_Data!H208)))</f>
        <v/>
      </c>
      <c r="I208" s="23">
        <f>IFERROR(VALUE(SUBSTITUTE(SUBSTITUTE(Raw_Data!I208,"₹",""),",","")),"")</f>
        <v>3002</v>
      </c>
      <c r="J208" s="17" t="str">
        <f>IF(TRIM(Raw_Data!J208)="","Not Specified",PROPER(TRIM(Raw_Data!J208)))</f>
        <v>High</v>
      </c>
      <c r="K208" s="17" t="str">
        <f>IF(TRIM(Raw_Data!K208)="","Not Specified",IFERROR(INDEX(Lookup_Tables!$E$6:$E$13,MATCH(TRIM(Raw_Data!K208),Lookup_Tables!$D$6:$D$13,0)),"Unknown - Review"))</f>
        <v>Pending</v>
      </c>
      <c r="L208" s="17" t="str">
        <f>IF(TRIM(Raw_Data!L208)="","",PROPER(TRIM(Raw_Data!L208)))</f>
        <v>Stores Officer</v>
      </c>
      <c r="M208" s="22" t="str">
        <f>IF(Raw_Data!M208="","",IF(ISNUMBER(Raw_Data!M208),Raw_Data!M208,IF(ISNUMBER(SEARCH("/",Raw_Data!M208)),IFERROR(DATE(VALUE(RIGHT(Raw_Data!M208,4)),VALUE(MID(Raw_Data!M208,4,2)),VALUE(LEFT(Raw_Data!M208,2))),"Invalid Date"),IFERROR(DATEVALUE(Raw_Data!M208),"Invalid Date"))))</f>
        <v/>
      </c>
      <c r="N208" s="22" t="str">
        <f>IF(Raw_Data!N208="","",IF(ISNUMBER(Raw_Data!N208),Raw_Data!N208,IF(ISNUMBER(SEARCH("/",Raw_Data!N208)),IFERROR(DATE(VALUE(RIGHT(Raw_Data!N208,4)),VALUE(MID(Raw_Data!N208,4,2)),VALUE(LEFT(Raw_Data!N208,2))),"Invalid Date"),IFERROR(DATEVALUE(Raw_Data!N208),"Invalid Date"))))</f>
        <v/>
      </c>
      <c r="O208" s="22" t="str">
        <f>IF(Raw_Data!O208="","",IF(ISNUMBER(Raw_Data!O208),Raw_Data!O208,IF(ISNUMBER(SEARCH("/",Raw_Data!O208)),IFERROR(DATE(VALUE(RIGHT(Raw_Data!O208,4)),VALUE(MID(Raw_Data!O208,4,2)),VALUE(LEFT(Raw_Data!O208,2))),"Invalid Date"),IFERROR(DATEVALUE(Raw_Data!O208),"Invalid Date"))))</f>
        <v/>
      </c>
      <c r="P208" s="17" t="str">
        <f>IF(OR(TRIM(Raw_Data!P208)="",TRIM(Raw_Data!P208)="N/A",TRIM(Raw_Data!P208)="TBD",TRIM(Raw_Data!P208)="-"),"Not Assigned",PROPER(TRIM(Raw_Data!P208)))</f>
        <v>Not Assigned</v>
      </c>
      <c r="Q208" s="24" t="str">
        <f t="shared" si="18"/>
        <v/>
      </c>
      <c r="R208" s="17" t="str">
        <f t="shared" si="19"/>
        <v/>
      </c>
      <c r="S208" s="17" t="str">
        <f>IF(COUNTIF($A$2:A208,A208)&gt;1,"Duplicate","Unique")</f>
        <v>Unique</v>
      </c>
      <c r="T208" s="17" t="str">
        <f t="shared" si="20"/>
        <v>No</v>
      </c>
      <c r="U208" s="17" t="str">
        <f t="shared" si="21"/>
        <v>No</v>
      </c>
      <c r="V208" s="17" t="str">
        <f t="shared" si="22"/>
        <v>Yes</v>
      </c>
      <c r="W208" s="17" t="str">
        <f t="shared" si="23"/>
        <v>Jan-2025</v>
      </c>
    </row>
    <row r="209" spans="1:23" x14ac:dyDescent="0.3">
      <c r="A209" s="17" t="str">
        <f>TRIM(Raw_Data!A209)</f>
        <v>REQ-2025-0208</v>
      </c>
      <c r="B209" s="22">
        <f>IF(Raw_Data!B209="","",IF(ISNUMBER(Raw_Data!B209),Raw_Data!B209,IF(ISNUMBER(SEARCH("/",Raw_Data!B209)),IFERROR(DATE(VALUE(RIGHT(Raw_Data!B209,4)),VALUE(MID(Raw_Data!B209,4,2)),VALUE(LEFT(Raw_Data!B209,2))),"Invalid Date"),IFERROR(DATEVALUE(Raw_Data!B209),"Invalid Date"))))</f>
        <v>45826</v>
      </c>
      <c r="C209" s="17" t="str">
        <f>IF(TRIM(Raw_Data!C209)="","",PROPER(TRIM(Raw_Data!C209)))</f>
        <v>Unit B - Artillery</v>
      </c>
      <c r="D209" s="17" t="str">
        <f>IF(TRIM(Raw_Data!D209)="","Not Specified",IFERROR(INDEX(Lookup_Tables!$H$6:$H$12,MATCH(TRIM(Raw_Data!D209),Lookup_Tables!$G$6:$G$12,0)),"Unknown - Review"))</f>
        <v>Southern</v>
      </c>
      <c r="E209" s="17" t="str">
        <f>IF(TRIM(Raw_Data!E209)="","Not Specified",IFERROR(INDEX(Lookup_Tables!$B$6:$B$18,MATCH(TRIM(Raw_Data!E209),Lookup_Tables!$A$6:$A$18,0)),"Unknown - Review"))</f>
        <v>Vehicle Spares</v>
      </c>
      <c r="F209" s="17" t="str">
        <f>IF(TRIM(Raw_Data!F209)="","",TRIM(Raw_Data!F209))</f>
        <v>Engine Oil Filter</v>
      </c>
      <c r="G209" s="17">
        <f>IF(Raw_Data!G209="","",IF(VALUE(Raw_Data!G209)&lt;=0,"Invalid",VALUE(Raw_Data!G209)))</f>
        <v>483</v>
      </c>
      <c r="H209" s="17">
        <f>IF(Raw_Data!H209="","",IF(VALUE(Raw_Data!H209)&lt;=0,"Invalid",VALUE(Raw_Data!H209)))</f>
        <v>363</v>
      </c>
      <c r="I209" s="23">
        <f>IFERROR(VALUE(SUBSTITUTE(SUBSTITUTE(Raw_Data!I209,"₹",""),",","")),"")</f>
        <v>43651.07</v>
      </c>
      <c r="J209" s="17" t="str">
        <f>IF(TRIM(Raw_Data!J209)="","Not Specified",PROPER(TRIM(Raw_Data!J209)))</f>
        <v>Routine</v>
      </c>
      <c r="K209" s="17" t="str">
        <f>IF(TRIM(Raw_Data!K209)="","Not Specified",IFERROR(INDEX(Lookup_Tables!$E$6:$E$13,MATCH(TRIM(Raw_Data!K209),Lookup_Tables!$D$6:$D$13,0)),"Unknown - Review"))</f>
        <v>Delivered</v>
      </c>
      <c r="L209" s="17" t="str">
        <f>IF(TRIM(Raw_Data!L209)="","",PROPER(TRIM(Raw_Data!L209)))</f>
        <v>Logistics Officer</v>
      </c>
      <c r="M209" s="22">
        <f>IF(Raw_Data!M209="","",IF(ISNUMBER(Raw_Data!M209),Raw_Data!M209,IF(ISNUMBER(SEARCH("/",Raw_Data!M209)),IFERROR(DATE(VALUE(RIGHT(Raw_Data!M209,4)),VALUE(MID(Raw_Data!M209,4,2)),VALUE(LEFT(Raw_Data!M209,2))),"Invalid Date"),IFERROR(DATEVALUE(Raw_Data!M209),"Invalid Date"))))</f>
        <v>45834</v>
      </c>
      <c r="N209" s="22">
        <f>IF(Raw_Data!N209="","",IF(ISNUMBER(Raw_Data!N209),Raw_Data!N209,IF(ISNUMBER(SEARCH("/",Raw_Data!N209)),IFERROR(DATE(VALUE(RIGHT(Raw_Data!N209,4)),VALUE(MID(Raw_Data!N209,4,2)),VALUE(LEFT(Raw_Data!N209,2))),"Invalid Date"),IFERROR(DATEVALUE(Raw_Data!N209),"Invalid Date"))))</f>
        <v>45852</v>
      </c>
      <c r="O209" s="22">
        <f>IF(Raw_Data!O209="","",IF(ISNUMBER(Raw_Data!O209),Raw_Data!O209,IF(ISNUMBER(SEARCH("/",Raw_Data!O209)),IFERROR(DATE(VALUE(RIGHT(Raw_Data!O209,4)),VALUE(MID(Raw_Data!O209,4,2)),VALUE(LEFT(Raw_Data!O209,2))),"Invalid Date"),IFERROR(DATEVALUE(Raw_Data!O209),"Invalid Date"))))</f>
        <v>45855</v>
      </c>
      <c r="P209" s="17" t="str">
        <f>IF(OR(TRIM(Raw_Data!P209)="",TRIM(Raw_Data!P209)="N/A",TRIM(Raw_Data!P209)="TBD",TRIM(Raw_Data!P209)="-"),"Not Assigned",PROPER(TRIM(Raw_Data!P209)))</f>
        <v>Bharat Logistics Pvt Ltd</v>
      </c>
      <c r="Q209" s="24">
        <f t="shared" si="18"/>
        <v>15845338.41</v>
      </c>
      <c r="R209" s="17">
        <f t="shared" si="19"/>
        <v>3</v>
      </c>
      <c r="S209" s="17" t="str">
        <f>IF(COUNTIF($A$2:A209,A209)&gt;1,"Duplicate","Unique")</f>
        <v>Unique</v>
      </c>
      <c r="T209" s="17" t="str">
        <f t="shared" si="20"/>
        <v>No</v>
      </c>
      <c r="U209" s="17" t="str">
        <f t="shared" si="21"/>
        <v>No</v>
      </c>
      <c r="V209" s="17" t="str">
        <f t="shared" si="22"/>
        <v>Yes</v>
      </c>
      <c r="W209" s="17" t="str">
        <f t="shared" si="23"/>
        <v>Jun-2025</v>
      </c>
    </row>
    <row r="210" spans="1:23" x14ac:dyDescent="0.3">
      <c r="A210" s="17" t="str">
        <f>TRIM(Raw_Data!A210)</f>
        <v>REQ-2025-0209</v>
      </c>
      <c r="B210" s="22">
        <f>IF(Raw_Data!B210="","",IF(ISNUMBER(Raw_Data!B210),Raw_Data!B210,IF(ISNUMBER(SEARCH("/",Raw_Data!B210)),IFERROR(DATE(VALUE(RIGHT(Raw_Data!B210,4)),VALUE(MID(Raw_Data!B210,4,2)),VALUE(LEFT(Raw_Data!B210,2))),"Invalid Date"),IFERROR(DATEVALUE(Raw_Data!B210),"Invalid Date"))))</f>
        <v>45985</v>
      </c>
      <c r="C210" s="17" t="str">
        <f>IF(TRIM(Raw_Data!C210)="","",PROPER(TRIM(Raw_Data!C210)))</f>
        <v>Unit D - Signals</v>
      </c>
      <c r="D210" s="17" t="str">
        <f>IF(TRIM(Raw_Data!D210)="","Not Specified",IFERROR(INDEX(Lookup_Tables!$H$6:$H$12,MATCH(TRIM(Raw_Data!D210),Lookup_Tables!$G$6:$G$12,0)),"Unknown - Review"))</f>
        <v>Western</v>
      </c>
      <c r="E210" s="17" t="str">
        <f>IF(TRIM(Raw_Data!E210)="","Not Specified",IFERROR(INDEX(Lookup_Tables!$B$6:$B$18,MATCH(TRIM(Raw_Data!E210),Lookup_Tables!$A$6:$A$18,0)),"Unknown - Review"))</f>
        <v>Construction Material</v>
      </c>
      <c r="F210" s="17" t="str">
        <f>IF(TRIM(Raw_Data!F210)="","",TRIM(Raw_Data!F210))</f>
        <v>Sandbag (Pack of 50)</v>
      </c>
      <c r="G210" s="17">
        <f>IF(Raw_Data!G210="","",IF(VALUE(Raw_Data!G210)&lt;=0,"Invalid",VALUE(Raw_Data!G210)))</f>
        <v>278</v>
      </c>
      <c r="H210" s="17">
        <f>IF(Raw_Data!H210="","",IF(VALUE(Raw_Data!H210)&lt;=0,"Invalid",VALUE(Raw_Data!H210)))</f>
        <v>226</v>
      </c>
      <c r="I210" s="23">
        <f>IFERROR(VALUE(SUBSTITUTE(SUBSTITUTE(Raw_Data!I210,"₹",""),",","")),"")</f>
        <v>40954</v>
      </c>
      <c r="J210" s="17" t="str">
        <f>IF(TRIM(Raw_Data!J210)="","Not Specified",PROPER(TRIM(Raw_Data!J210)))</f>
        <v>Low</v>
      </c>
      <c r="K210" s="17" t="str">
        <f>IF(TRIM(Raw_Data!K210)="","Not Specified",IFERROR(INDEX(Lookup_Tables!$E$6:$E$13,MATCH(TRIM(Raw_Data!K210),Lookup_Tables!$D$6:$D$13,0)),"Unknown - Review"))</f>
        <v>Delivered</v>
      </c>
      <c r="L210" s="17" t="str">
        <f>IF(TRIM(Raw_Data!L210)="","",PROPER(TRIM(Raw_Data!L210)))</f>
        <v>Quartermaster</v>
      </c>
      <c r="M210" s="22">
        <f>IF(Raw_Data!M210="","",IF(ISNUMBER(Raw_Data!M210),Raw_Data!M210,IF(ISNUMBER(SEARCH("/",Raw_Data!M210)),IFERROR(DATE(VALUE(RIGHT(Raw_Data!M210,4)),VALUE(MID(Raw_Data!M210,4,2)),VALUE(LEFT(Raw_Data!M210,2))),"Invalid Date"),IFERROR(DATEVALUE(Raw_Data!M210),"Invalid Date"))))</f>
        <v>45992</v>
      </c>
      <c r="N210" s="22">
        <f>IF(Raw_Data!N210="","",IF(ISNUMBER(Raw_Data!N210),Raw_Data!N210,IF(ISNUMBER(SEARCH("/",Raw_Data!N210)),IFERROR(DATE(VALUE(RIGHT(Raw_Data!N210,4)),VALUE(MID(Raw_Data!N210,4,2)),VALUE(LEFT(Raw_Data!N210,2))),"Invalid Date"),IFERROR(DATEVALUE(Raw_Data!N210),"Invalid Date"))))</f>
        <v>46005</v>
      </c>
      <c r="O210" s="22">
        <f>IF(Raw_Data!O210="","",IF(ISNUMBER(Raw_Data!O210),Raw_Data!O210,IF(ISNUMBER(SEARCH("/",Raw_Data!O210)),IFERROR(DATE(VALUE(RIGHT(Raw_Data!O210,4)),VALUE(MID(Raw_Data!O210,4,2)),VALUE(LEFT(Raw_Data!O210,2))),"Invalid Date"),IFERROR(DATEVALUE(Raw_Data!O210),"Invalid Date"))))</f>
        <v>46009</v>
      </c>
      <c r="P210" s="17" t="str">
        <f>IF(OR(TRIM(Raw_Data!P210)="",TRIM(Raw_Data!P210)="N/A",TRIM(Raw_Data!P210)="TBD",TRIM(Raw_Data!P210)="-"),"Not Assigned",PROPER(TRIM(Raw_Data!P210)))</f>
        <v>Sena Supply Co</v>
      </c>
      <c r="Q210" s="24">
        <f t="shared" si="18"/>
        <v>9255604</v>
      </c>
      <c r="R210" s="17">
        <f t="shared" si="19"/>
        <v>4</v>
      </c>
      <c r="S210" s="17" t="str">
        <f>IF(COUNTIF($A$2:A210,A210)&gt;1,"Duplicate","Unique")</f>
        <v>Unique</v>
      </c>
      <c r="T210" s="17" t="str">
        <f t="shared" si="20"/>
        <v>No</v>
      </c>
      <c r="U210" s="17" t="str">
        <f t="shared" si="21"/>
        <v>No</v>
      </c>
      <c r="V210" s="17" t="str">
        <f t="shared" si="22"/>
        <v>Yes</v>
      </c>
      <c r="W210" s="17" t="str">
        <f t="shared" si="23"/>
        <v>Nov-2025</v>
      </c>
    </row>
    <row r="211" spans="1:23" x14ac:dyDescent="0.3">
      <c r="A211" s="17" t="str">
        <f>TRIM(Raw_Data!A211)</f>
        <v>REQ-2025-0210</v>
      </c>
      <c r="B211" s="22">
        <f>IF(Raw_Data!B211="","",IF(ISNUMBER(Raw_Data!B211),Raw_Data!B211,IF(ISNUMBER(SEARCH("/",Raw_Data!B211)),IFERROR(DATE(VALUE(RIGHT(Raw_Data!B211,4)),VALUE(MID(Raw_Data!B211,4,2)),VALUE(LEFT(Raw_Data!B211,2))),"Invalid Date"),IFERROR(DATEVALUE(Raw_Data!B211),"Invalid Date"))))</f>
        <v>45691</v>
      </c>
      <c r="C211" s="17" t="str">
        <f>IF(TRIM(Raw_Data!C211)="","",PROPER(TRIM(Raw_Data!C211)))</f>
        <v>Unit B - Artillery</v>
      </c>
      <c r="D211" s="17" t="str">
        <f>IF(TRIM(Raw_Data!D211)="","Not Specified",IFERROR(INDEX(Lookup_Tables!$H$6:$H$12,MATCH(TRIM(Raw_Data!D211),Lookup_Tables!$G$6:$G$12,0)),"Unknown - Review"))</f>
        <v>Southern</v>
      </c>
      <c r="E211" s="17" t="str">
        <f>IF(TRIM(Raw_Data!E211)="","Not Specified",IFERROR(INDEX(Lookup_Tables!$B$6:$B$18,MATCH(TRIM(Raw_Data!E211),Lookup_Tables!$A$6:$A$18,0)),"Unknown - Review"))</f>
        <v>Communication Equipment</v>
      </c>
      <c r="F211" s="17" t="str">
        <f>IF(TRIM(Raw_Data!F211)="","",TRIM(Raw_Data!F211))</f>
        <v>Headset Set</v>
      </c>
      <c r="G211" s="17" t="str">
        <f>IF(Raw_Data!G211="","",IF(VALUE(Raw_Data!G211)&lt;=0,"Invalid",VALUE(Raw_Data!G211)))</f>
        <v>Invalid</v>
      </c>
      <c r="H211" s="17" t="str">
        <f>IF(Raw_Data!H211="","",IF(VALUE(Raw_Data!H211)&lt;=0,"Invalid",VALUE(Raw_Data!H211)))</f>
        <v/>
      </c>
      <c r="I211" s="23">
        <f>IFERROR(VALUE(SUBSTITUTE(SUBSTITUTE(Raw_Data!I211,"₹",""),",","")),"")</f>
        <v>28925</v>
      </c>
      <c r="J211" s="17" t="str">
        <f>IF(TRIM(Raw_Data!J211)="","Not Specified",PROPER(TRIM(Raw_Data!J211)))</f>
        <v>Low</v>
      </c>
      <c r="K211" s="17" t="str">
        <f>IF(TRIM(Raw_Data!K211)="","Not Specified",IFERROR(INDEX(Lookup_Tables!$E$6:$E$13,MATCH(TRIM(Raw_Data!K211),Lookup_Tables!$D$6:$D$13,0)),"Unknown - Review"))</f>
        <v>Rejected</v>
      </c>
      <c r="L211" s="17" t="str">
        <f>IF(TRIM(Raw_Data!L211)="","",PROPER(TRIM(Raw_Data!L211)))</f>
        <v>Unit Commander</v>
      </c>
      <c r="M211" s="22" t="str">
        <f>IF(Raw_Data!M211="","",IF(ISNUMBER(Raw_Data!M211),Raw_Data!M211,IF(ISNUMBER(SEARCH("/",Raw_Data!M211)),IFERROR(DATE(VALUE(RIGHT(Raw_Data!M211,4)),VALUE(MID(Raw_Data!M211,4,2)),VALUE(LEFT(Raw_Data!M211,2))),"Invalid Date"),IFERROR(DATEVALUE(Raw_Data!M211),"Invalid Date"))))</f>
        <v/>
      </c>
      <c r="N211" s="22" t="str">
        <f>IF(Raw_Data!N211="","",IF(ISNUMBER(Raw_Data!N211),Raw_Data!N211,IF(ISNUMBER(SEARCH("/",Raw_Data!N211)),IFERROR(DATE(VALUE(RIGHT(Raw_Data!N211,4)),VALUE(MID(Raw_Data!N211,4,2)),VALUE(LEFT(Raw_Data!N211,2))),"Invalid Date"),IFERROR(DATEVALUE(Raw_Data!N211),"Invalid Date"))))</f>
        <v/>
      </c>
      <c r="O211" s="22" t="str">
        <f>IF(Raw_Data!O211="","",IF(ISNUMBER(Raw_Data!O211),Raw_Data!O211,IF(ISNUMBER(SEARCH("/",Raw_Data!O211)),IFERROR(DATE(VALUE(RIGHT(Raw_Data!O211,4)),VALUE(MID(Raw_Data!O211,4,2)),VALUE(LEFT(Raw_Data!O211,2))),"Invalid Date"),IFERROR(DATEVALUE(Raw_Data!O211),"Invalid Date"))))</f>
        <v/>
      </c>
      <c r="P211" s="17" t="str">
        <f>IF(OR(TRIM(Raw_Data!P211)="",TRIM(Raw_Data!P211)="N/A",TRIM(Raw_Data!P211)="TBD",TRIM(Raw_Data!P211)="-"),"Not Assigned",PROPER(TRIM(Raw_Data!P211)))</f>
        <v>Central Ordnance Suppliers</v>
      </c>
      <c r="Q211" s="24" t="str">
        <f t="shared" si="18"/>
        <v/>
      </c>
      <c r="R211" s="17" t="str">
        <f t="shared" si="19"/>
        <v/>
      </c>
      <c r="S211" s="17" t="str">
        <f>IF(COUNTIF($A$2:A211,A211)&gt;1,"Duplicate","Unique")</f>
        <v>Unique</v>
      </c>
      <c r="T211" s="17" t="str">
        <f t="shared" si="20"/>
        <v>No</v>
      </c>
      <c r="U211" s="17" t="str">
        <f t="shared" si="21"/>
        <v>No</v>
      </c>
      <c r="V211" s="17" t="str">
        <f t="shared" si="22"/>
        <v>No</v>
      </c>
      <c r="W211" s="17" t="str">
        <f t="shared" si="23"/>
        <v>Feb-2025</v>
      </c>
    </row>
    <row r="212" spans="1:23" x14ac:dyDescent="0.3">
      <c r="A212" s="17" t="str">
        <f>TRIM(Raw_Data!A212)</f>
        <v>REQ-2025-0211</v>
      </c>
      <c r="B212" s="22">
        <f>IF(Raw_Data!B212="","",IF(ISNUMBER(Raw_Data!B212),Raw_Data!B212,IF(ISNUMBER(SEARCH("/",Raw_Data!B212)),IFERROR(DATE(VALUE(RIGHT(Raw_Data!B212,4)),VALUE(MID(Raw_Data!B212,4,2)),VALUE(LEFT(Raw_Data!B212,2))),"Invalid Date"),IFERROR(DATEVALUE(Raw_Data!B212),"Invalid Date"))))</f>
        <v>46009</v>
      </c>
      <c r="C212" s="17" t="str">
        <f>IF(TRIM(Raw_Data!C212)="","",PROPER(TRIM(Raw_Data!C212)))</f>
        <v>Unit H - Air Defence</v>
      </c>
      <c r="D212" s="17" t="str">
        <f>IF(TRIM(Raw_Data!D212)="","Not Specified",IFERROR(INDEX(Lookup_Tables!$H$6:$H$12,MATCH(TRIM(Raw_Data!D212),Lookup_Tables!$G$6:$G$12,0)),"Unknown - Review"))</f>
        <v>Southern</v>
      </c>
      <c r="E212" s="17" t="str">
        <f>IF(TRIM(Raw_Data!E212)="","Not Specified",IFERROR(INDEX(Lookup_Tables!$B$6:$B$18,MATCH(TRIM(Raw_Data!E212),Lookup_Tables!$A$6:$A$18,0)),"Unknown - Review"))</f>
        <v>Communication Equipment</v>
      </c>
      <c r="F212" s="17" t="str">
        <f>IF(TRIM(Raw_Data!F212)="","",TRIM(Raw_Data!F212))</f>
        <v>Signal Cable (100m)</v>
      </c>
      <c r="G212" s="17" t="str">
        <f>IF(Raw_Data!G212="","",IF(VALUE(Raw_Data!G212)&lt;=0,"Invalid",VALUE(Raw_Data!G212)))</f>
        <v/>
      </c>
      <c r="H212" s="17">
        <f>IF(Raw_Data!H212="","",IF(VALUE(Raw_Data!H212)&lt;=0,"Invalid",VALUE(Raw_Data!H212)))</f>
        <v>86</v>
      </c>
      <c r="I212" s="23">
        <f>IFERROR(VALUE(SUBSTITUTE(SUBSTITUTE(Raw_Data!I212,"₹",""),",","")),"")</f>
        <v>17073</v>
      </c>
      <c r="J212" s="17" t="str">
        <f>IF(TRIM(Raw_Data!J212)="","Not Specified",PROPER(TRIM(Raw_Data!J212)))</f>
        <v>Low</v>
      </c>
      <c r="K212" s="17" t="str">
        <f>IF(TRIM(Raw_Data!K212)="","Not Specified",IFERROR(INDEX(Lookup_Tables!$E$6:$E$13,MATCH(TRIM(Raw_Data!K212),Lookup_Tables!$D$6:$D$13,0)),"Unknown - Review"))</f>
        <v>Dispatched</v>
      </c>
      <c r="L212" s="17" t="str">
        <f>IF(TRIM(Raw_Data!L212)="","",PROPER(TRIM(Raw_Data!L212)))</f>
        <v>Stores Officer</v>
      </c>
      <c r="M212" s="22">
        <f>IF(Raw_Data!M212="","",IF(ISNUMBER(Raw_Data!M212),Raw_Data!M212,IF(ISNUMBER(SEARCH("/",Raw_Data!M212)),IFERROR(DATE(VALUE(RIGHT(Raw_Data!M212,4)),VALUE(MID(Raw_Data!M212,4,2)),VALUE(LEFT(Raw_Data!M212,2))),"Invalid Date"),IFERROR(DATEVALUE(Raw_Data!M212),"Invalid Date"))))</f>
        <v>46019</v>
      </c>
      <c r="N212" s="22">
        <f>IF(Raw_Data!N212="","",IF(ISNUMBER(Raw_Data!N212),Raw_Data!N212,IF(ISNUMBER(SEARCH("/",Raw_Data!N212)),IFERROR(DATE(VALUE(RIGHT(Raw_Data!N212,4)),VALUE(MID(Raw_Data!N212,4,2)),VALUE(LEFT(Raw_Data!N212,2))),"Invalid Date"),IFERROR(DATEVALUE(Raw_Data!N212),"Invalid Date"))))</f>
        <v>46031</v>
      </c>
      <c r="O212" s="22" t="str">
        <f>IF(Raw_Data!O212="","",IF(ISNUMBER(Raw_Data!O212),Raw_Data!O212,IF(ISNUMBER(SEARCH("/",Raw_Data!O212)),IFERROR(DATE(VALUE(RIGHT(Raw_Data!O212,4)),VALUE(MID(Raw_Data!O212,4,2)),VALUE(LEFT(Raw_Data!O212,2))),"Invalid Date"),IFERROR(DATEVALUE(Raw_Data!O212),"Invalid Date"))))</f>
        <v/>
      </c>
      <c r="P212" s="17" t="str">
        <f>IF(OR(TRIM(Raw_Data!P212)="",TRIM(Raw_Data!P212)="N/A",TRIM(Raw_Data!P212)="TBD",TRIM(Raw_Data!P212)="-"),"Not Assigned",PROPER(TRIM(Raw_Data!P212)))</f>
        <v>Not Assigned</v>
      </c>
      <c r="Q212" s="24">
        <f t="shared" si="18"/>
        <v>1468278</v>
      </c>
      <c r="R212" s="17" t="str">
        <f t="shared" si="19"/>
        <v/>
      </c>
      <c r="S212" s="17" t="str">
        <f>IF(COUNTIF($A$2:A212,A212)&gt;1,"Duplicate","Unique")</f>
        <v>Unique</v>
      </c>
      <c r="T212" s="17" t="str">
        <f t="shared" si="20"/>
        <v>Yes</v>
      </c>
      <c r="U212" s="17" t="str">
        <f t="shared" si="21"/>
        <v>No</v>
      </c>
      <c r="V212" s="17" t="str">
        <f t="shared" si="22"/>
        <v>No</v>
      </c>
      <c r="W212" s="17" t="str">
        <f t="shared" si="23"/>
        <v>Dec-2025</v>
      </c>
    </row>
    <row r="213" spans="1:23" x14ac:dyDescent="0.3">
      <c r="A213" s="17" t="str">
        <f>TRIM(Raw_Data!A213)</f>
        <v>REQ-2025-0212</v>
      </c>
      <c r="B213" s="22">
        <f>IF(Raw_Data!B213="","",IF(ISNUMBER(Raw_Data!B213),Raw_Data!B213,IF(ISNUMBER(SEARCH("/",Raw_Data!B213)),IFERROR(DATE(VALUE(RIGHT(Raw_Data!B213,4)),VALUE(MID(Raw_Data!B213,4,2)),VALUE(LEFT(Raw_Data!B213,2))),"Invalid Date"),IFERROR(DATEVALUE(Raw_Data!B213),"Invalid Date"))))</f>
        <v>45772</v>
      </c>
      <c r="C213" s="17" t="str">
        <f>IF(TRIM(Raw_Data!C213)="","",PROPER(TRIM(Raw_Data!C213)))</f>
        <v>Unit H - Air Defence</v>
      </c>
      <c r="D213" s="17" t="str">
        <f>IF(TRIM(Raw_Data!D213)="","Not Specified",IFERROR(INDEX(Lookup_Tables!$H$6:$H$12,MATCH(TRIM(Raw_Data!D213),Lookup_Tables!$G$6:$G$12,0)),"Unknown - Review"))</f>
        <v>Eastern</v>
      </c>
      <c r="E213" s="17" t="str">
        <f>IF(TRIM(Raw_Data!E213)="","Not Specified",IFERROR(INDEX(Lookup_Tables!$B$6:$B$18,MATCH(TRIM(Raw_Data!E213),Lookup_Tables!$A$6:$A$18,0)),"Unknown - Review"))</f>
        <v>Office &amp; IT Equipment</v>
      </c>
      <c r="F213" s="17" t="str">
        <f>IF(TRIM(Raw_Data!F213)="","",TRIM(Raw_Data!F213))</f>
        <v>Desktop Computer</v>
      </c>
      <c r="G213" s="17">
        <f>IF(Raw_Data!G213="","",IF(VALUE(Raw_Data!G213)&lt;=0,"Invalid",VALUE(Raw_Data!G213)))</f>
        <v>152</v>
      </c>
      <c r="H213" s="17">
        <f>IF(Raw_Data!H213="","",IF(VALUE(Raw_Data!H213)&lt;=0,"Invalid",VALUE(Raw_Data!H213)))</f>
        <v>126</v>
      </c>
      <c r="I213" s="23">
        <f>IFERROR(VALUE(SUBSTITUTE(SUBSTITUTE(Raw_Data!I213,"₹",""),",","")),"")</f>
        <v>9416.2800000000007</v>
      </c>
      <c r="J213" s="17" t="str">
        <f>IF(TRIM(Raw_Data!J213)="","Not Specified",PROPER(TRIM(Raw_Data!J213)))</f>
        <v>Medium</v>
      </c>
      <c r="K213" s="17" t="str">
        <f>IF(TRIM(Raw_Data!K213)="","Not Specified",IFERROR(INDEX(Lookup_Tables!$E$6:$E$13,MATCH(TRIM(Raw_Data!K213),Lookup_Tables!$D$6:$D$13,0)),"Unknown - Review"))</f>
        <v>Delivered</v>
      </c>
      <c r="L213" s="17" t="str">
        <f>IF(TRIM(Raw_Data!L213)="","",PROPER(TRIM(Raw_Data!L213)))</f>
        <v>Stores Officer</v>
      </c>
      <c r="M213" s="22">
        <f>IF(Raw_Data!M213="","",IF(ISNUMBER(Raw_Data!M213),Raw_Data!M213,IF(ISNUMBER(SEARCH("/",Raw_Data!M213)),IFERROR(DATE(VALUE(RIGHT(Raw_Data!M213,4)),VALUE(MID(Raw_Data!M213,4,2)),VALUE(LEFT(Raw_Data!M213,2))),"Invalid Date"),IFERROR(DATEVALUE(Raw_Data!M213),"Invalid Date"))))</f>
        <v>45776</v>
      </c>
      <c r="N213" s="22">
        <f>IF(Raw_Data!N213="","",IF(ISNUMBER(Raw_Data!N213),Raw_Data!N213,IF(ISNUMBER(SEARCH("/",Raw_Data!N213)),IFERROR(DATE(VALUE(RIGHT(Raw_Data!N213,4)),VALUE(MID(Raw_Data!N213,4,2)),VALUE(LEFT(Raw_Data!N213,2))),"Invalid Date"),IFERROR(DATEVALUE(Raw_Data!N213),"Invalid Date"))))</f>
        <v>45790</v>
      </c>
      <c r="O213" s="22">
        <f>IF(Raw_Data!O213="","",IF(ISNUMBER(Raw_Data!O213),Raw_Data!O213,IF(ISNUMBER(SEARCH("/",Raw_Data!O213)),IFERROR(DATE(VALUE(RIGHT(Raw_Data!O213,4)),VALUE(MID(Raw_Data!O213,4,2)),VALUE(LEFT(Raw_Data!O213,2))),"Invalid Date"),IFERROR(DATEVALUE(Raw_Data!O213),"Invalid Date"))))</f>
        <v>45808</v>
      </c>
      <c r="P213" s="17" t="str">
        <f>IF(OR(TRIM(Raw_Data!P213)="",TRIM(Raw_Data!P213)="N/A",TRIM(Raw_Data!P213)="TBD",TRIM(Raw_Data!P213)="-"),"Not Assigned",PROPER(TRIM(Raw_Data!P213)))</f>
        <v>Vikram Enterprises</v>
      </c>
      <c r="Q213" s="24">
        <f t="shared" si="18"/>
        <v>1186451.28</v>
      </c>
      <c r="R213" s="17">
        <f t="shared" si="19"/>
        <v>18</v>
      </c>
      <c r="S213" s="17" t="str">
        <f>IF(COUNTIF($A$2:A213,A213)&gt;1,"Duplicate","Unique")</f>
        <v>Unique</v>
      </c>
      <c r="T213" s="17" t="str">
        <f t="shared" si="20"/>
        <v>No</v>
      </c>
      <c r="U213" s="17" t="str">
        <f t="shared" si="21"/>
        <v>No</v>
      </c>
      <c r="V213" s="17" t="str">
        <f t="shared" si="22"/>
        <v>Yes</v>
      </c>
      <c r="W213" s="17" t="str">
        <f t="shared" si="23"/>
        <v>Apr-2025</v>
      </c>
    </row>
    <row r="214" spans="1:23" x14ac:dyDescent="0.3">
      <c r="A214" s="17" t="str">
        <f>TRIM(Raw_Data!A214)</f>
        <v>REQ-2025-0213</v>
      </c>
      <c r="B214" s="22">
        <f>IF(Raw_Data!B214="","",IF(ISNUMBER(Raw_Data!B214),Raw_Data!B214,IF(ISNUMBER(SEARCH("/",Raw_Data!B214)),IFERROR(DATE(VALUE(RIGHT(Raw_Data!B214,4)),VALUE(MID(Raw_Data!B214,4,2)),VALUE(LEFT(Raw_Data!B214,2))),"Invalid Date"),IFERROR(DATEVALUE(Raw_Data!B214),"Invalid Date"))))</f>
        <v>45684</v>
      </c>
      <c r="C214" s="17" t="str">
        <f>IF(TRIM(Raw_Data!C214)="","",PROPER(TRIM(Raw_Data!C214)))</f>
        <v>Unit E - Medical Corps</v>
      </c>
      <c r="D214" s="17" t="str">
        <f>IF(TRIM(Raw_Data!D214)="","Not Specified",IFERROR(INDEX(Lookup_Tables!$H$6:$H$12,MATCH(TRIM(Raw_Data!D214),Lookup_Tables!$G$6:$G$12,0)),"Unknown - Review"))</f>
        <v>Central</v>
      </c>
      <c r="E214" s="17" t="str">
        <f>IF(TRIM(Raw_Data!E214)="","Not Specified",IFERROR(INDEX(Lookup_Tables!$B$6:$B$18,MATCH(TRIM(Raw_Data!E214),Lookup_Tables!$A$6:$A$18,0)),"Unknown - Review"))</f>
        <v>Tents &amp; Shelter</v>
      </c>
      <c r="F214" s="17" t="str">
        <f>IF(TRIM(Raw_Data!F214)="","",TRIM(Raw_Data!F214))</f>
        <v>10-Man Tent</v>
      </c>
      <c r="G214" s="17">
        <f>IF(Raw_Data!G214="","",IF(VALUE(Raw_Data!G214)&lt;=0,"Invalid",VALUE(Raw_Data!G214)))</f>
        <v>470</v>
      </c>
      <c r="H214" s="17">
        <f>IF(Raw_Data!H214="","",IF(VALUE(Raw_Data!H214)&lt;=0,"Invalid",VALUE(Raw_Data!H214)))</f>
        <v>423</v>
      </c>
      <c r="I214" s="23" t="str">
        <f>IFERROR(VALUE(SUBSTITUTE(SUBSTITUTE(Raw_Data!I214,"₹",""),",","")),"")</f>
        <v/>
      </c>
      <c r="J214" s="17" t="str">
        <f>IF(TRIM(Raw_Data!J214)="","Not Specified",PROPER(TRIM(Raw_Data!J214)))</f>
        <v>Medium</v>
      </c>
      <c r="K214" s="17" t="str">
        <f>IF(TRIM(Raw_Data!K214)="","Not Specified",IFERROR(INDEX(Lookup_Tables!$E$6:$E$13,MATCH(TRIM(Raw_Data!K214),Lookup_Tables!$D$6:$D$13,0)),"Unknown - Review"))</f>
        <v>Approved</v>
      </c>
      <c r="L214" s="17" t="str">
        <f>IF(TRIM(Raw_Data!L214)="","",PROPER(TRIM(Raw_Data!L214)))</f>
        <v>Unit Commander</v>
      </c>
      <c r="M214" s="22">
        <f>IF(Raw_Data!M214="","",IF(ISNUMBER(Raw_Data!M214),Raw_Data!M214,IF(ISNUMBER(SEARCH("/",Raw_Data!M214)),IFERROR(DATE(VALUE(RIGHT(Raw_Data!M214,4)),VALUE(MID(Raw_Data!M214,4,2)),VALUE(LEFT(Raw_Data!M214,2))),"Invalid Date"),IFERROR(DATEVALUE(Raw_Data!M214),"Invalid Date"))))</f>
        <v>45685</v>
      </c>
      <c r="N214" s="22">
        <f>IF(Raw_Data!N214="","",IF(ISNUMBER(Raw_Data!N214),Raw_Data!N214,IF(ISNUMBER(SEARCH("/",Raw_Data!N214)),IFERROR(DATE(VALUE(RIGHT(Raw_Data!N214,4)),VALUE(MID(Raw_Data!N214,4,2)),VALUE(LEFT(Raw_Data!N214,2))),"Invalid Date"),IFERROR(DATEVALUE(Raw_Data!N214),"Invalid Date"))))</f>
        <v>45690</v>
      </c>
      <c r="O214" s="22" t="str">
        <f>IF(Raw_Data!O214="","",IF(ISNUMBER(Raw_Data!O214),Raw_Data!O214,IF(ISNUMBER(SEARCH("/",Raw_Data!O214)),IFERROR(DATE(VALUE(RIGHT(Raw_Data!O214,4)),VALUE(MID(Raw_Data!O214,4,2)),VALUE(LEFT(Raw_Data!O214,2))),"Invalid Date"),IFERROR(DATEVALUE(Raw_Data!O214),"Invalid Date"))))</f>
        <v/>
      </c>
      <c r="P214" s="17" t="str">
        <f>IF(OR(TRIM(Raw_Data!P214)="",TRIM(Raw_Data!P214)="N/A",TRIM(Raw_Data!P214)="TBD",TRIM(Raw_Data!P214)="-"),"Not Assigned",PROPER(TRIM(Raw_Data!P214)))</f>
        <v>Shakti Traders</v>
      </c>
      <c r="Q214" s="24" t="str">
        <f t="shared" si="18"/>
        <v/>
      </c>
      <c r="R214" s="17" t="str">
        <f t="shared" si="19"/>
        <v/>
      </c>
      <c r="S214" s="17" t="str">
        <f>IF(COUNTIF($A$2:A214,A214)&gt;1,"Duplicate","Unique")</f>
        <v>Unique</v>
      </c>
      <c r="T214" s="17" t="str">
        <f t="shared" si="20"/>
        <v>No</v>
      </c>
      <c r="U214" s="17" t="str">
        <f t="shared" si="21"/>
        <v>No</v>
      </c>
      <c r="V214" s="17" t="str">
        <f t="shared" si="22"/>
        <v>Yes</v>
      </c>
      <c r="W214" s="17" t="str">
        <f t="shared" si="23"/>
        <v>Jan-2025</v>
      </c>
    </row>
    <row r="215" spans="1:23" x14ac:dyDescent="0.3">
      <c r="A215" s="17" t="str">
        <f>TRIM(Raw_Data!A215)</f>
        <v>REQ-2025-0214</v>
      </c>
      <c r="B215" s="22" t="str">
        <f>IF(Raw_Data!B215="","",IF(ISNUMBER(Raw_Data!B215),Raw_Data!B215,IF(ISNUMBER(SEARCH("/",Raw_Data!B215)),IFERROR(DATE(VALUE(RIGHT(Raw_Data!B215,4)),VALUE(MID(Raw_Data!B215,4,2)),VALUE(LEFT(Raw_Data!B215,2))),"Invalid Date"),IFERROR(DATEVALUE(Raw_Data!B215),"Invalid Date"))))</f>
        <v/>
      </c>
      <c r="C215" s="17" t="str">
        <f>IF(TRIM(Raw_Data!C215)="","",PROPER(TRIM(Raw_Data!C215)))</f>
        <v>Unit C - Engineers</v>
      </c>
      <c r="D215" s="17" t="str">
        <f>IF(TRIM(Raw_Data!D215)="","Not Specified",IFERROR(INDEX(Lookup_Tables!$H$6:$H$12,MATCH(TRIM(Raw_Data!D215),Lookup_Tables!$G$6:$G$12,0)),"Unknown - Review"))</f>
        <v>Eastern</v>
      </c>
      <c r="E215" s="17" t="str">
        <f>IF(TRIM(Raw_Data!E215)="","Not Specified",IFERROR(INDEX(Lookup_Tables!$B$6:$B$18,MATCH(TRIM(Raw_Data!E215),Lookup_Tables!$A$6:$A$18,0)),"Unknown - Review"))</f>
        <v>Communication Equipment</v>
      </c>
      <c r="F215" s="17" t="str">
        <f>IF(TRIM(Raw_Data!F215)="","",TRIM(Raw_Data!F215))</f>
        <v>Battery Pack (Radio)</v>
      </c>
      <c r="G215" s="17">
        <f>IF(Raw_Data!G215="","",IF(VALUE(Raw_Data!G215)&lt;=0,"Invalid",VALUE(Raw_Data!G215)))</f>
        <v>269</v>
      </c>
      <c r="H215" s="17">
        <f>IF(Raw_Data!H215="","",IF(VALUE(Raw_Data!H215)&lt;=0,"Invalid",VALUE(Raw_Data!H215)))</f>
        <v>213</v>
      </c>
      <c r="I215" s="23">
        <f>IFERROR(VALUE(SUBSTITUTE(SUBSTITUTE(Raw_Data!I215,"₹",""),",","")),"")</f>
        <v>44756.24</v>
      </c>
      <c r="J215" s="17" t="str">
        <f>IF(TRIM(Raw_Data!J215)="","Not Specified",PROPER(TRIM(Raw_Data!J215)))</f>
        <v>Low</v>
      </c>
      <c r="K215" s="17" t="str">
        <f>IF(TRIM(Raw_Data!K215)="","Not Specified",IFERROR(INDEX(Lookup_Tables!$E$6:$E$13,MATCH(TRIM(Raw_Data!K215),Lookup_Tables!$D$6:$D$13,0)),"Unknown - Review"))</f>
        <v>Not Specified</v>
      </c>
      <c r="L215" s="17" t="str">
        <f>IF(TRIM(Raw_Data!L215)="","",PROPER(TRIM(Raw_Data!L215)))</f>
        <v>Stores Officer</v>
      </c>
      <c r="M215" s="22">
        <f>IF(Raw_Data!M215="","",IF(ISNUMBER(Raw_Data!M215),Raw_Data!M215,IF(ISNUMBER(SEARCH("/",Raw_Data!M215)),IFERROR(DATE(VALUE(RIGHT(Raw_Data!M215,4)),VALUE(MID(Raw_Data!M215,4,2)),VALUE(LEFT(Raw_Data!M215,2))),"Invalid Date"),IFERROR(DATEVALUE(Raw_Data!M215),"Invalid Date"))))</f>
        <v>45881</v>
      </c>
      <c r="N215" s="22">
        <f>IF(Raw_Data!N215="","",IF(ISNUMBER(Raw_Data!N215),Raw_Data!N215,IF(ISNUMBER(SEARCH("/",Raw_Data!N215)),IFERROR(DATE(VALUE(RIGHT(Raw_Data!N215,4)),VALUE(MID(Raw_Data!N215,4,2)),VALUE(LEFT(Raw_Data!N215,2))),"Invalid Date"),IFERROR(DATEVALUE(Raw_Data!N215),"Invalid Date"))))</f>
        <v>45903</v>
      </c>
      <c r="O215" s="22" t="str">
        <f>IF(Raw_Data!O215="","",IF(ISNUMBER(Raw_Data!O215),Raw_Data!O215,IF(ISNUMBER(SEARCH("/",Raw_Data!O215)),IFERROR(DATE(VALUE(RIGHT(Raw_Data!O215,4)),VALUE(MID(Raw_Data!O215,4,2)),VALUE(LEFT(Raw_Data!O215,2))),"Invalid Date"),IFERROR(DATEVALUE(Raw_Data!O215),"Invalid Date"))))</f>
        <v/>
      </c>
      <c r="P215" s="17" t="str">
        <f>IF(OR(TRIM(Raw_Data!P215)="",TRIM(Raw_Data!P215)="N/A",TRIM(Raw_Data!P215)="TBD",TRIM(Raw_Data!P215)="-"),"Not Assigned",PROPER(TRIM(Raw_Data!P215)))</f>
        <v>Central Ordnance Suppliers</v>
      </c>
      <c r="Q215" s="24">
        <f t="shared" si="18"/>
        <v>9533079.1199999992</v>
      </c>
      <c r="R215" s="17" t="str">
        <f t="shared" si="19"/>
        <v/>
      </c>
      <c r="S215" s="17" t="str">
        <f>IF(COUNTIF($A$2:A215,A215)&gt;1,"Duplicate","Unique")</f>
        <v>Unique</v>
      </c>
      <c r="T215" s="17" t="str">
        <f t="shared" si="20"/>
        <v>Yes</v>
      </c>
      <c r="U215" s="17" t="str">
        <f t="shared" si="21"/>
        <v>No</v>
      </c>
      <c r="V215" s="17" t="str">
        <f t="shared" si="22"/>
        <v>No</v>
      </c>
      <c r="W215" s="17" t="str">
        <f t="shared" si="23"/>
        <v/>
      </c>
    </row>
    <row r="216" spans="1:23" x14ac:dyDescent="0.3">
      <c r="A216" s="17" t="str">
        <f>TRIM(Raw_Data!A216)</f>
        <v>REQ-2025-0215</v>
      </c>
      <c r="B216" s="22">
        <f>IF(Raw_Data!B216="","",IF(ISNUMBER(Raw_Data!B216),Raw_Data!B216,IF(ISNUMBER(SEARCH("/",Raw_Data!B216)),IFERROR(DATE(VALUE(RIGHT(Raw_Data!B216,4)),VALUE(MID(Raw_Data!B216,4,2)),VALUE(LEFT(Raw_Data!B216,2))),"Invalid Date"),IFERROR(DATEVALUE(Raw_Data!B216),"Invalid Date"))))</f>
        <v>45803</v>
      </c>
      <c r="C216" s="17" t="str">
        <f>IF(TRIM(Raw_Data!C216)="","",PROPER(TRIM(Raw_Data!C216)))</f>
        <v>Unit C - Engineers</v>
      </c>
      <c r="D216" s="17" t="str">
        <f>IF(TRIM(Raw_Data!D216)="","Not Specified",IFERROR(INDEX(Lookup_Tables!$H$6:$H$12,MATCH(TRIM(Raw_Data!D216),Lookup_Tables!$G$6:$G$12,0)),"Unknown - Review"))</f>
        <v>Eastern</v>
      </c>
      <c r="E216" s="17" t="str">
        <f>IF(TRIM(Raw_Data!E216)="","Not Specified",IFERROR(INDEX(Lookup_Tables!$B$6:$B$18,MATCH(TRIM(Raw_Data!E216),Lookup_Tables!$A$6:$A$18,0)),"Unknown - Review"))</f>
        <v>Vehicle Spares</v>
      </c>
      <c r="F216" s="17" t="str">
        <f>IF(TRIM(Raw_Data!F216)="","",TRIM(Raw_Data!F216))</f>
        <v>Brake Pad Set</v>
      </c>
      <c r="G216" s="17">
        <f>IF(Raw_Data!G216="","",IF(VALUE(Raw_Data!G216)&lt;=0,"Invalid",VALUE(Raw_Data!G216)))</f>
        <v>293</v>
      </c>
      <c r="H216" s="17">
        <f>IF(Raw_Data!H216="","",IF(VALUE(Raw_Data!H216)&lt;=0,"Invalid",VALUE(Raw_Data!H216)))</f>
        <v>256</v>
      </c>
      <c r="I216" s="23">
        <f>IFERROR(VALUE(SUBSTITUTE(SUBSTITUTE(Raw_Data!I216,"₹",""),",","")),"")</f>
        <v>43727.49</v>
      </c>
      <c r="J216" s="17" t="str">
        <f>IF(TRIM(Raw_Data!J216)="","Not Specified",PROPER(TRIM(Raw_Data!J216)))</f>
        <v>Medium</v>
      </c>
      <c r="K216" s="17" t="str">
        <f>IF(TRIM(Raw_Data!K216)="","Not Specified",IFERROR(INDEX(Lookup_Tables!$E$6:$E$13,MATCH(TRIM(Raw_Data!K216),Lookup_Tables!$D$6:$D$13,0)),"Unknown - Review"))</f>
        <v>Approved</v>
      </c>
      <c r="L216" s="17" t="str">
        <f>IF(TRIM(Raw_Data!L216)="","",PROPER(TRIM(Raw_Data!L216)))</f>
        <v>Stores Officer</v>
      </c>
      <c r="M216" s="22" t="str">
        <f>IF(Raw_Data!M216="","",IF(ISNUMBER(Raw_Data!M216),Raw_Data!M216,IF(ISNUMBER(SEARCH("/",Raw_Data!M216)),IFERROR(DATE(VALUE(RIGHT(Raw_Data!M216,4)),VALUE(MID(Raw_Data!M216,4,2)),VALUE(LEFT(Raw_Data!M216,2))),"Invalid Date"),IFERROR(DATEVALUE(Raw_Data!M216),"Invalid Date"))))</f>
        <v/>
      </c>
      <c r="N216" s="22">
        <f>IF(Raw_Data!N216="","",IF(ISNUMBER(Raw_Data!N216),Raw_Data!N216,IF(ISNUMBER(SEARCH("/",Raw_Data!N216)),IFERROR(DATE(VALUE(RIGHT(Raw_Data!N216,4)),VALUE(MID(Raw_Data!N216,4,2)),VALUE(LEFT(Raw_Data!N216,2))),"Invalid Date"),IFERROR(DATEVALUE(Raw_Data!N216),"Invalid Date"))))</f>
        <v>45841</v>
      </c>
      <c r="O216" s="22" t="str">
        <f>IF(Raw_Data!O216="","",IF(ISNUMBER(Raw_Data!O216),Raw_Data!O216,IF(ISNUMBER(SEARCH("/",Raw_Data!O216)),IFERROR(DATE(VALUE(RIGHT(Raw_Data!O216,4)),VALUE(MID(Raw_Data!O216,4,2)),VALUE(LEFT(Raw_Data!O216,2))),"Invalid Date"),IFERROR(DATEVALUE(Raw_Data!O216),"Invalid Date"))))</f>
        <v/>
      </c>
      <c r="P216" s="17" t="str">
        <f>IF(OR(TRIM(Raw_Data!P216)="",TRIM(Raw_Data!P216)="N/A",TRIM(Raw_Data!P216)="TBD",TRIM(Raw_Data!P216)="-"),"Not Assigned",PROPER(TRIM(Raw_Data!P216)))</f>
        <v>National Defence Stores</v>
      </c>
      <c r="Q216" s="24">
        <f t="shared" si="18"/>
        <v>11194237.439999999</v>
      </c>
      <c r="R216" s="17" t="str">
        <f t="shared" si="19"/>
        <v/>
      </c>
      <c r="S216" s="17" t="str">
        <f>IF(COUNTIF($A$2:A216,A216)&gt;1,"Duplicate","Unique")</f>
        <v>Unique</v>
      </c>
      <c r="T216" s="17" t="str">
        <f t="shared" si="20"/>
        <v>No</v>
      </c>
      <c r="U216" s="17" t="str">
        <f t="shared" si="21"/>
        <v>No</v>
      </c>
      <c r="V216" s="17" t="str">
        <f t="shared" si="22"/>
        <v>Yes</v>
      </c>
      <c r="W216" s="17" t="str">
        <f t="shared" si="23"/>
        <v>May-2025</v>
      </c>
    </row>
    <row r="217" spans="1:23" x14ac:dyDescent="0.3">
      <c r="A217" s="17" t="str">
        <f>TRIM(Raw_Data!A217)</f>
        <v>REQ-2025-0216</v>
      </c>
      <c r="B217" s="22">
        <f>IF(Raw_Data!B217="","",IF(ISNUMBER(Raw_Data!B217),Raw_Data!B217,IF(ISNUMBER(SEARCH("/",Raw_Data!B217)),IFERROR(DATE(VALUE(RIGHT(Raw_Data!B217,4)),VALUE(MID(Raw_Data!B217,4,2)),VALUE(LEFT(Raw_Data!B217,2))),"Invalid Date"),IFERROR(DATEVALUE(Raw_Data!B217),"Invalid Date"))))</f>
        <v>45680</v>
      </c>
      <c r="C217" s="17" t="str">
        <f>IF(TRIM(Raw_Data!C217)="","",PROPER(TRIM(Raw_Data!C217)))</f>
        <v>Unit E - Medical Corps</v>
      </c>
      <c r="D217" s="17" t="str">
        <f>IF(TRIM(Raw_Data!D217)="","Not Specified",IFERROR(INDEX(Lookup_Tables!$H$6:$H$12,MATCH(TRIM(Raw_Data!D217),Lookup_Tables!$G$6:$G$12,0)),"Unknown - Review"))</f>
        <v>Central</v>
      </c>
      <c r="E217" s="17" t="str">
        <f>IF(TRIM(Raw_Data!E217)="","Not Specified",IFERROR(INDEX(Lookup_Tables!$B$6:$B$18,MATCH(TRIM(Raw_Data!E217),Lookup_Tables!$A$6:$A$18,0)),"Unknown - Review"))</f>
        <v>Rations</v>
      </c>
      <c r="F217" s="17" t="str">
        <f>IF(TRIM(Raw_Data!F217)="","",TRIM(Raw_Data!F217))</f>
        <v>Rice (50kg bag)</v>
      </c>
      <c r="G217" s="17">
        <f>IF(Raw_Data!G217="","",IF(VALUE(Raw_Data!G217)&lt;=0,"Invalid",VALUE(Raw_Data!G217)))</f>
        <v>490</v>
      </c>
      <c r="H217" s="17">
        <f>IF(Raw_Data!H217="","",IF(VALUE(Raw_Data!H217)&lt;=0,"Invalid",VALUE(Raw_Data!H217)))</f>
        <v>483</v>
      </c>
      <c r="I217" s="23">
        <f>IFERROR(VALUE(SUBSTITUTE(SUBSTITUTE(Raw_Data!I217,"₹",""),",","")),"")</f>
        <v>25677</v>
      </c>
      <c r="J217" s="17" t="str">
        <f>IF(TRIM(Raw_Data!J217)="","Not Specified",PROPER(TRIM(Raw_Data!J217)))</f>
        <v>Routine</v>
      </c>
      <c r="K217" s="17" t="str">
        <f>IF(TRIM(Raw_Data!K217)="","Not Specified",IFERROR(INDEX(Lookup_Tables!$E$6:$E$13,MATCH(TRIM(Raw_Data!K217),Lookup_Tables!$D$6:$D$13,0)),"Unknown - Review"))</f>
        <v>Delivered</v>
      </c>
      <c r="L217" s="17" t="str">
        <f>IF(TRIM(Raw_Data!L217)="","",PROPER(TRIM(Raw_Data!L217)))</f>
        <v>Stores Officer</v>
      </c>
      <c r="M217" s="22">
        <f>IF(Raw_Data!M217="","",IF(ISNUMBER(Raw_Data!M217),Raw_Data!M217,IF(ISNUMBER(SEARCH("/",Raw_Data!M217)),IFERROR(DATE(VALUE(RIGHT(Raw_Data!M217,4)),VALUE(MID(Raw_Data!M217,4,2)),VALUE(LEFT(Raw_Data!M217,2))),"Invalid Date"),IFERROR(DATEVALUE(Raw_Data!M217),"Invalid Date"))))</f>
        <v>45684</v>
      </c>
      <c r="N217" s="22">
        <f>IF(Raw_Data!N217="","",IF(ISNUMBER(Raw_Data!N217),Raw_Data!N217,IF(ISNUMBER(SEARCH("/",Raw_Data!N217)),IFERROR(DATE(VALUE(RIGHT(Raw_Data!N217,4)),VALUE(MID(Raw_Data!N217,4,2)),VALUE(LEFT(Raw_Data!N217,2))),"Invalid Date"),IFERROR(DATEVALUE(Raw_Data!N217),"Invalid Date"))))</f>
        <v>45690</v>
      </c>
      <c r="O217" s="22">
        <f>IF(Raw_Data!O217="","",IF(ISNUMBER(Raw_Data!O217),Raw_Data!O217,IF(ISNUMBER(SEARCH("/",Raw_Data!O217)),IFERROR(DATE(VALUE(RIGHT(Raw_Data!O217,4)),VALUE(MID(Raw_Data!O217,4,2)),VALUE(LEFT(Raw_Data!O217,2))),"Invalid Date"),IFERROR(DATEVALUE(Raw_Data!O217),"Invalid Date"))))</f>
        <v>45710</v>
      </c>
      <c r="P217" s="17" t="str">
        <f>IF(OR(TRIM(Raw_Data!P217)="",TRIM(Raw_Data!P217)="N/A",TRIM(Raw_Data!P217)="TBD",TRIM(Raw_Data!P217)="-"),"Not Assigned",PROPER(TRIM(Raw_Data!P217)))</f>
        <v>Shakti Traders</v>
      </c>
      <c r="Q217" s="24">
        <f t="shared" si="18"/>
        <v>12401991</v>
      </c>
      <c r="R217" s="17">
        <f t="shared" si="19"/>
        <v>20</v>
      </c>
      <c r="S217" s="17" t="str">
        <f>IF(COUNTIF($A$2:A217,A217)&gt;1,"Duplicate","Unique")</f>
        <v>Unique</v>
      </c>
      <c r="T217" s="17" t="str">
        <f t="shared" si="20"/>
        <v>No</v>
      </c>
      <c r="U217" s="17" t="str">
        <f t="shared" si="21"/>
        <v>No</v>
      </c>
      <c r="V217" s="17" t="str">
        <f t="shared" si="22"/>
        <v>Yes</v>
      </c>
      <c r="W217" s="17" t="str">
        <f t="shared" si="23"/>
        <v>Jan-2025</v>
      </c>
    </row>
    <row r="218" spans="1:23" x14ac:dyDescent="0.3">
      <c r="A218" s="17" t="str">
        <f>TRIM(Raw_Data!A218)</f>
        <v>REQ-2025-0217</v>
      </c>
      <c r="B218" s="22">
        <f>IF(Raw_Data!B218="","",IF(ISNUMBER(Raw_Data!B218),Raw_Data!B218,IF(ISNUMBER(SEARCH("/",Raw_Data!B218)),IFERROR(DATE(VALUE(RIGHT(Raw_Data!B218,4)),VALUE(MID(Raw_Data!B218,4,2)),VALUE(LEFT(Raw_Data!B218,2))),"Invalid Date"),IFERROR(DATEVALUE(Raw_Data!B218),"Invalid Date"))))</f>
        <v>45725</v>
      </c>
      <c r="C218" s="17" t="str">
        <f>IF(TRIM(Raw_Data!C218)="","",PROPER(TRIM(Raw_Data!C218)))</f>
        <v>Unit G - Transport Corps</v>
      </c>
      <c r="D218" s="17" t="str">
        <f>IF(TRIM(Raw_Data!D218)="","Not Specified",IFERROR(INDEX(Lookup_Tables!$H$6:$H$12,MATCH(TRIM(Raw_Data!D218),Lookup_Tables!$G$6:$G$12,0)),"Unknown - Review"))</f>
        <v>Southern</v>
      </c>
      <c r="E218" s="17" t="str">
        <f>IF(TRIM(Raw_Data!E218)="","Not Specified",IFERROR(INDEX(Lookup_Tables!$B$6:$B$18,MATCH(TRIM(Raw_Data!E218),Lookup_Tables!$A$6:$A$18,0)),"Unknown - Review"))</f>
        <v>Communication Equipment</v>
      </c>
      <c r="F218" s="17" t="str">
        <f>IF(TRIM(Raw_Data!F218)="","",TRIM(Raw_Data!F218))</f>
        <v>Headset Set</v>
      </c>
      <c r="G218" s="17">
        <f>IF(Raw_Data!G218="","",IF(VALUE(Raw_Data!G218)&lt;=0,"Invalid",VALUE(Raw_Data!G218)))</f>
        <v>267</v>
      </c>
      <c r="H218" s="17" t="str">
        <f>IF(Raw_Data!H218="","",IF(VALUE(Raw_Data!H218)&lt;=0,"Invalid",VALUE(Raw_Data!H218)))</f>
        <v/>
      </c>
      <c r="I218" s="23">
        <f>IFERROR(VALUE(SUBSTITUTE(SUBSTITUTE(Raw_Data!I218,"₹",""),",","")),"")</f>
        <v>17555.82</v>
      </c>
      <c r="J218" s="17" t="str">
        <f>IF(TRIM(Raw_Data!J218)="","Not Specified",PROPER(TRIM(Raw_Data!J218)))</f>
        <v>Not Specified</v>
      </c>
      <c r="K218" s="17" t="str">
        <f>IF(TRIM(Raw_Data!K218)="","Not Specified",IFERROR(INDEX(Lookup_Tables!$E$6:$E$13,MATCH(TRIM(Raw_Data!K218),Lookup_Tables!$D$6:$D$13,0)),"Unknown - Review"))</f>
        <v>Rejected</v>
      </c>
      <c r="L218" s="17" t="str">
        <f>IF(TRIM(Raw_Data!L218)="","",PROPER(TRIM(Raw_Data!L218)))</f>
        <v>Stores Officer</v>
      </c>
      <c r="M218" s="22" t="str">
        <f>IF(Raw_Data!M218="","",IF(ISNUMBER(Raw_Data!M218),Raw_Data!M218,IF(ISNUMBER(SEARCH("/",Raw_Data!M218)),IFERROR(DATE(VALUE(RIGHT(Raw_Data!M218,4)),VALUE(MID(Raw_Data!M218,4,2)),VALUE(LEFT(Raw_Data!M218,2))),"Invalid Date"),IFERROR(DATEVALUE(Raw_Data!M218),"Invalid Date"))))</f>
        <v/>
      </c>
      <c r="N218" s="22" t="str">
        <f>IF(Raw_Data!N218="","",IF(ISNUMBER(Raw_Data!N218),Raw_Data!N218,IF(ISNUMBER(SEARCH("/",Raw_Data!N218)),IFERROR(DATE(VALUE(RIGHT(Raw_Data!N218,4)),VALUE(MID(Raw_Data!N218,4,2)),VALUE(LEFT(Raw_Data!N218,2))),"Invalid Date"),IFERROR(DATEVALUE(Raw_Data!N218),"Invalid Date"))))</f>
        <v/>
      </c>
      <c r="O218" s="22" t="str">
        <f>IF(Raw_Data!O218="","",IF(ISNUMBER(Raw_Data!O218),Raw_Data!O218,IF(ISNUMBER(SEARCH("/",Raw_Data!O218)),IFERROR(DATE(VALUE(RIGHT(Raw_Data!O218,4)),VALUE(MID(Raw_Data!O218,4,2)),VALUE(LEFT(Raw_Data!O218,2))),"Invalid Date"),IFERROR(DATEVALUE(Raw_Data!O218),"Invalid Date"))))</f>
        <v/>
      </c>
      <c r="P218" s="17" t="str">
        <f>IF(OR(TRIM(Raw_Data!P218)="",TRIM(Raw_Data!P218)="N/A",TRIM(Raw_Data!P218)="TBD",TRIM(Raw_Data!P218)="-"),"Not Assigned",PROPER(TRIM(Raw_Data!P218)))</f>
        <v>Shakti Traders</v>
      </c>
      <c r="Q218" s="24" t="str">
        <f t="shared" si="18"/>
        <v/>
      </c>
      <c r="R218" s="17" t="str">
        <f t="shared" si="19"/>
        <v/>
      </c>
      <c r="S218" s="17" t="str">
        <f>IF(COUNTIF($A$2:A218,A218)&gt;1,"Duplicate","Unique")</f>
        <v>Unique</v>
      </c>
      <c r="T218" s="17" t="str">
        <f t="shared" si="20"/>
        <v>No</v>
      </c>
      <c r="U218" s="17" t="str">
        <f t="shared" si="21"/>
        <v>No</v>
      </c>
      <c r="V218" s="17" t="str">
        <f t="shared" si="22"/>
        <v>Yes</v>
      </c>
      <c r="W218" s="17" t="str">
        <f t="shared" si="23"/>
        <v>Mar-2025</v>
      </c>
    </row>
    <row r="219" spans="1:23" x14ac:dyDescent="0.3">
      <c r="A219" s="17" t="str">
        <f>TRIM(Raw_Data!A219)</f>
        <v>REQ-2025-0218</v>
      </c>
      <c r="B219" s="22">
        <f>IF(Raw_Data!B219="","",IF(ISNUMBER(Raw_Data!B219),Raw_Data!B219,IF(ISNUMBER(SEARCH("/",Raw_Data!B219)),IFERROR(DATE(VALUE(RIGHT(Raw_Data!B219,4)),VALUE(MID(Raw_Data!B219,4,2)),VALUE(LEFT(Raw_Data!B219,2))),"Invalid Date"),IFERROR(DATEVALUE(Raw_Data!B219),"Invalid Date"))))</f>
        <v>45902</v>
      </c>
      <c r="C219" s="17" t="str">
        <f>IF(TRIM(Raw_Data!C219)="","",PROPER(TRIM(Raw_Data!C219)))</f>
        <v>Unit B - Artillery</v>
      </c>
      <c r="D219" s="17" t="str">
        <f>IF(TRIM(Raw_Data!D219)="","Not Specified",IFERROR(INDEX(Lookup_Tables!$H$6:$H$12,MATCH(TRIM(Raw_Data!D219),Lookup_Tables!$G$6:$G$12,0)),"Unknown - Review"))</f>
        <v>Southern</v>
      </c>
      <c r="E219" s="17" t="str">
        <f>IF(TRIM(Raw_Data!E219)="","Not Specified",IFERROR(INDEX(Lookup_Tables!$B$6:$B$18,MATCH(TRIM(Raw_Data!E219),Lookup_Tables!$A$6:$A$18,0)),"Unknown - Review"))</f>
        <v>Construction Material</v>
      </c>
      <c r="F219" s="17" t="str">
        <f>IF(TRIM(Raw_Data!F219)="","",TRIM(Raw_Data!F219))</f>
        <v>Cement Bag (50kg)</v>
      </c>
      <c r="G219" s="17">
        <f>IF(Raw_Data!G219="","",IF(VALUE(Raw_Data!G219)&lt;=0,"Invalid",VALUE(Raw_Data!G219)))</f>
        <v>435</v>
      </c>
      <c r="H219" s="17">
        <f>IF(Raw_Data!H219="","",IF(VALUE(Raw_Data!H219)&lt;=0,"Invalid",VALUE(Raw_Data!H219)))</f>
        <v>378</v>
      </c>
      <c r="I219" s="23">
        <f>IFERROR(VALUE(SUBSTITUTE(SUBSTITUTE(Raw_Data!I219,"₹",""),",","")),"")</f>
        <v>24862.1</v>
      </c>
      <c r="J219" s="17" t="str">
        <f>IF(TRIM(Raw_Data!J219)="","Not Specified",PROPER(TRIM(Raw_Data!J219)))</f>
        <v>Medium</v>
      </c>
      <c r="K219" s="17" t="str">
        <f>IF(TRIM(Raw_Data!K219)="","Not Specified",IFERROR(INDEX(Lookup_Tables!$E$6:$E$13,MATCH(TRIM(Raw_Data!K219),Lookup_Tables!$D$6:$D$13,0)),"Unknown - Review"))</f>
        <v>Approved</v>
      </c>
      <c r="L219" s="17" t="str">
        <f>IF(TRIM(Raw_Data!L219)="","",PROPER(TRIM(Raw_Data!L219)))</f>
        <v>Stores Officer</v>
      </c>
      <c r="M219" s="22" t="str">
        <f>IF(Raw_Data!M219="","",IF(ISNUMBER(Raw_Data!M219),Raw_Data!M219,IF(ISNUMBER(SEARCH("/",Raw_Data!M219)),IFERROR(DATE(VALUE(RIGHT(Raw_Data!M219,4)),VALUE(MID(Raw_Data!M219,4,2)),VALUE(LEFT(Raw_Data!M219,2))),"Invalid Date"),IFERROR(DATEVALUE(Raw_Data!M219),"Invalid Date"))))</f>
        <v/>
      </c>
      <c r="N219" s="22">
        <f>IF(Raw_Data!N219="","",IF(ISNUMBER(Raw_Data!N219),Raw_Data!N219,IF(ISNUMBER(SEARCH("/",Raw_Data!N219)),IFERROR(DATE(VALUE(RIGHT(Raw_Data!N219,4)),VALUE(MID(Raw_Data!N219,4,2)),VALUE(LEFT(Raw_Data!N219,2))),"Invalid Date"),IFERROR(DATEVALUE(Raw_Data!N219),"Invalid Date"))))</f>
        <v>45924</v>
      </c>
      <c r="O219" s="22" t="str">
        <f>IF(Raw_Data!O219="","",IF(ISNUMBER(Raw_Data!O219),Raw_Data!O219,IF(ISNUMBER(SEARCH("/",Raw_Data!O219)),IFERROR(DATE(VALUE(RIGHT(Raw_Data!O219,4)),VALUE(MID(Raw_Data!O219,4,2)),VALUE(LEFT(Raw_Data!O219,2))),"Invalid Date"),IFERROR(DATEVALUE(Raw_Data!O219),"Invalid Date"))))</f>
        <v/>
      </c>
      <c r="P219" s="17" t="str">
        <f>IF(OR(TRIM(Raw_Data!P219)="",TRIM(Raw_Data!P219)="N/A",TRIM(Raw_Data!P219)="TBD",TRIM(Raw_Data!P219)="-"),"Not Assigned",PROPER(TRIM(Raw_Data!P219)))</f>
        <v>Sena Supply Co</v>
      </c>
      <c r="Q219" s="24">
        <f t="shared" si="18"/>
        <v>9397873.7999999989</v>
      </c>
      <c r="R219" s="17" t="str">
        <f t="shared" si="19"/>
        <v/>
      </c>
      <c r="S219" s="17" t="str">
        <f>IF(COUNTIF($A$2:A219,A219)&gt;1,"Duplicate","Unique")</f>
        <v>Unique</v>
      </c>
      <c r="T219" s="17" t="str">
        <f t="shared" si="20"/>
        <v>No</v>
      </c>
      <c r="U219" s="17" t="str">
        <f t="shared" si="21"/>
        <v>No</v>
      </c>
      <c r="V219" s="17" t="str">
        <f t="shared" si="22"/>
        <v>Yes</v>
      </c>
      <c r="W219" s="17" t="str">
        <f t="shared" si="23"/>
        <v>Sep-2025</v>
      </c>
    </row>
    <row r="220" spans="1:23" x14ac:dyDescent="0.3">
      <c r="A220" s="17" t="str">
        <f>TRIM(Raw_Data!A220)</f>
        <v>REQ-2025-0219</v>
      </c>
      <c r="B220" s="22" t="str">
        <f>IF(Raw_Data!B220="","",IF(ISNUMBER(Raw_Data!B220),Raw_Data!B220,IF(ISNUMBER(SEARCH("/",Raw_Data!B220)),IFERROR(DATE(VALUE(RIGHT(Raw_Data!B220,4)),VALUE(MID(Raw_Data!B220,4,2)),VALUE(LEFT(Raw_Data!B220,2))),"Invalid Date"),IFERROR(DATEVALUE(Raw_Data!B220),"Invalid Date"))))</f>
        <v/>
      </c>
      <c r="C220" s="17" t="str">
        <f>IF(TRIM(Raw_Data!C220)="","",PROPER(TRIM(Raw_Data!C220)))</f>
        <v>Unit H - Air Defence</v>
      </c>
      <c r="D220" s="17" t="str">
        <f>IF(TRIM(Raw_Data!D220)="","Not Specified",IFERROR(INDEX(Lookup_Tables!$H$6:$H$12,MATCH(TRIM(Raw_Data!D220),Lookup_Tables!$G$6:$G$12,0)),"Unknown - Review"))</f>
        <v>Eastern</v>
      </c>
      <c r="E220" s="17" t="str">
        <f>IF(TRIM(Raw_Data!E220)="","Not Specified",IFERROR(INDEX(Lookup_Tables!$B$6:$B$18,MATCH(TRIM(Raw_Data!E220),Lookup_Tables!$A$6:$A$18,0)),"Unknown - Review"))</f>
        <v>Office &amp; IT Equipment</v>
      </c>
      <c r="F220" s="17" t="str">
        <f>IF(TRIM(Raw_Data!F220)="","",TRIM(Raw_Data!F220))</f>
        <v>UPS Backup Unit</v>
      </c>
      <c r="G220" s="17" t="str">
        <f>IF(Raw_Data!G220="","",IF(VALUE(Raw_Data!G220)&lt;=0,"Invalid",VALUE(Raw_Data!G220)))</f>
        <v/>
      </c>
      <c r="H220" s="17">
        <f>IF(Raw_Data!H220="","",IF(VALUE(Raw_Data!H220)&lt;=0,"Invalid",VALUE(Raw_Data!H220)))</f>
        <v>77</v>
      </c>
      <c r="I220" s="23">
        <f>IFERROR(VALUE(SUBSTITUTE(SUBSTITUTE(Raw_Data!I220,"₹",""),",","")),"")</f>
        <v>30352.38</v>
      </c>
      <c r="J220" s="17" t="str">
        <f>IF(TRIM(Raw_Data!J220)="","Not Specified",PROPER(TRIM(Raw_Data!J220)))</f>
        <v>Medium</v>
      </c>
      <c r="K220" s="17" t="str">
        <f>IF(TRIM(Raw_Data!K220)="","Not Specified",IFERROR(INDEX(Lookup_Tables!$E$6:$E$13,MATCH(TRIM(Raw_Data!K220),Lookup_Tables!$D$6:$D$13,0)),"Unknown - Review"))</f>
        <v>Approved</v>
      </c>
      <c r="L220" s="17" t="str">
        <f>IF(TRIM(Raw_Data!L220)="","",PROPER(TRIM(Raw_Data!L220)))</f>
        <v>Logistics Officer</v>
      </c>
      <c r="M220" s="22">
        <f>IF(Raw_Data!M220="","",IF(ISNUMBER(Raw_Data!M220),Raw_Data!M220,IF(ISNUMBER(SEARCH("/",Raw_Data!M220)),IFERROR(DATE(VALUE(RIGHT(Raw_Data!M220,4)),VALUE(MID(Raw_Data!M220,4,2)),VALUE(LEFT(Raw_Data!M220,2))),"Invalid Date"),IFERROR(DATEVALUE(Raw_Data!M220),"Invalid Date"))))</f>
        <v>45800</v>
      </c>
      <c r="N220" s="22">
        <f>IF(Raw_Data!N220="","",IF(ISNUMBER(Raw_Data!N220),Raw_Data!N220,IF(ISNUMBER(SEARCH("/",Raw_Data!N220)),IFERROR(DATE(VALUE(RIGHT(Raw_Data!N220,4)),VALUE(MID(Raw_Data!N220,4,2)),VALUE(LEFT(Raw_Data!N220,2))),"Invalid Date"),IFERROR(DATEVALUE(Raw_Data!N220),"Invalid Date"))))</f>
        <v>45822</v>
      </c>
      <c r="O220" s="22" t="str">
        <f>IF(Raw_Data!O220="","",IF(ISNUMBER(Raw_Data!O220),Raw_Data!O220,IF(ISNUMBER(SEARCH("/",Raw_Data!O220)),IFERROR(DATE(VALUE(RIGHT(Raw_Data!O220,4)),VALUE(MID(Raw_Data!O220,4,2)),VALUE(LEFT(Raw_Data!O220,2))),"Invalid Date"),IFERROR(DATEVALUE(Raw_Data!O220),"Invalid Date"))))</f>
        <v/>
      </c>
      <c r="P220" s="17" t="str">
        <f>IF(OR(TRIM(Raw_Data!P220)="",TRIM(Raw_Data!P220)="N/A",TRIM(Raw_Data!P220)="TBD",TRIM(Raw_Data!P220)="-"),"Not Assigned",PROPER(TRIM(Raw_Data!P220)))</f>
        <v>Bharat Logistics Pvt Ltd</v>
      </c>
      <c r="Q220" s="24">
        <f t="shared" si="18"/>
        <v>2337133.2600000002</v>
      </c>
      <c r="R220" s="17" t="str">
        <f t="shared" si="19"/>
        <v/>
      </c>
      <c r="S220" s="17" t="str">
        <f>IF(COUNTIF($A$2:A220,A220)&gt;1,"Duplicate","Unique")</f>
        <v>Unique</v>
      </c>
      <c r="T220" s="17" t="str">
        <f t="shared" si="20"/>
        <v>Yes</v>
      </c>
      <c r="U220" s="17" t="str">
        <f t="shared" si="21"/>
        <v>No</v>
      </c>
      <c r="V220" s="17" t="str">
        <f t="shared" si="22"/>
        <v>No</v>
      </c>
      <c r="W220" s="17" t="str">
        <f t="shared" si="23"/>
        <v/>
      </c>
    </row>
    <row r="221" spans="1:23" x14ac:dyDescent="0.3">
      <c r="A221" s="17" t="str">
        <f>TRIM(Raw_Data!A221)</f>
        <v>REQ-2025-0220</v>
      </c>
      <c r="B221" s="22">
        <f>IF(Raw_Data!B221="","",IF(ISNUMBER(Raw_Data!B221),Raw_Data!B221,IF(ISNUMBER(SEARCH("/",Raw_Data!B221)),IFERROR(DATE(VALUE(RIGHT(Raw_Data!B221,4)),VALUE(MID(Raw_Data!B221,4,2)),VALUE(LEFT(Raw_Data!B221,2))),"Invalid Date"),IFERROR(DATEVALUE(Raw_Data!B221),"Invalid Date"))))</f>
        <v>45671</v>
      </c>
      <c r="C221" s="17" t="str">
        <f>IF(TRIM(Raw_Data!C221)="","",PROPER(TRIM(Raw_Data!C221)))</f>
        <v>Unit A - Infantry</v>
      </c>
      <c r="D221" s="17" t="str">
        <f>IF(TRIM(Raw_Data!D221)="","Not Specified",IFERROR(INDEX(Lookup_Tables!$H$6:$H$12,MATCH(TRIM(Raw_Data!D221),Lookup_Tables!$G$6:$G$12,0)),"Unknown - Review"))</f>
        <v>Northern</v>
      </c>
      <c r="E221" s="17" t="str">
        <f>IF(TRIM(Raw_Data!E221)="","Not Specified",IFERROR(INDEX(Lookup_Tables!$B$6:$B$18,MATCH(TRIM(Raw_Data!E221),Lookup_Tables!$A$6:$A$18,0)),"Unknown - Review"))</f>
        <v>Rations</v>
      </c>
      <c r="F221" s="17" t="str">
        <f>IF(TRIM(Raw_Data!F221)="","",TRIM(Raw_Data!F221))</f>
        <v>Canned Vegetables</v>
      </c>
      <c r="G221" s="17">
        <f>IF(Raw_Data!G221="","",IF(VALUE(Raw_Data!G221)&lt;=0,"Invalid",VALUE(Raw_Data!G221)))</f>
        <v>228</v>
      </c>
      <c r="H221" s="17">
        <f>IF(Raw_Data!H221="","",IF(VALUE(Raw_Data!H221)&lt;=0,"Invalid",VALUE(Raw_Data!H221)))</f>
        <v>196</v>
      </c>
      <c r="I221" s="23" t="str">
        <f>IFERROR(VALUE(SUBSTITUTE(SUBSTITUTE(Raw_Data!I221,"₹",""),",","")),"")</f>
        <v/>
      </c>
      <c r="J221" s="17" t="str">
        <f>IF(TRIM(Raw_Data!J221)="","Not Specified",PROPER(TRIM(Raw_Data!J221)))</f>
        <v>Medium</v>
      </c>
      <c r="K221" s="17" t="str">
        <f>IF(TRIM(Raw_Data!K221)="","Not Specified",IFERROR(INDEX(Lookup_Tables!$E$6:$E$13,MATCH(TRIM(Raw_Data!K221),Lookup_Tables!$D$6:$D$13,0)),"Unknown - Review"))</f>
        <v>Approved</v>
      </c>
      <c r="L221" s="17" t="str">
        <f>IF(TRIM(Raw_Data!L221)="","",PROPER(TRIM(Raw_Data!L221)))</f>
        <v>Logistics Officer</v>
      </c>
      <c r="M221" s="22" t="str">
        <f>IF(Raw_Data!M221="","",IF(ISNUMBER(Raw_Data!M221),Raw_Data!M221,IF(ISNUMBER(SEARCH("/",Raw_Data!M221)),IFERROR(DATE(VALUE(RIGHT(Raw_Data!M221,4)),VALUE(MID(Raw_Data!M221,4,2)),VALUE(LEFT(Raw_Data!M221,2))),"Invalid Date"),IFERROR(DATEVALUE(Raw_Data!M221),"Invalid Date"))))</f>
        <v/>
      </c>
      <c r="N221" s="22">
        <f>IF(Raw_Data!N221="","",IF(ISNUMBER(Raw_Data!N221),Raw_Data!N221,IF(ISNUMBER(SEARCH("/",Raw_Data!N221)),IFERROR(DATE(VALUE(RIGHT(Raw_Data!N221,4)),VALUE(MID(Raw_Data!N221,4,2)),VALUE(LEFT(Raw_Data!N221,2))),"Invalid Date"),IFERROR(DATEVALUE(Raw_Data!N221),"Invalid Date"))))</f>
        <v>45688</v>
      </c>
      <c r="O221" s="22" t="str">
        <f>IF(Raw_Data!O221="","",IF(ISNUMBER(Raw_Data!O221),Raw_Data!O221,IF(ISNUMBER(SEARCH("/",Raw_Data!O221)),IFERROR(DATE(VALUE(RIGHT(Raw_Data!O221,4)),VALUE(MID(Raw_Data!O221,4,2)),VALUE(LEFT(Raw_Data!O221,2))),"Invalid Date"),IFERROR(DATEVALUE(Raw_Data!O221),"Invalid Date"))))</f>
        <v/>
      </c>
      <c r="P221" s="17" t="str">
        <f>IF(OR(TRIM(Raw_Data!P221)="",TRIM(Raw_Data!P221)="N/A",TRIM(Raw_Data!P221)="TBD",TRIM(Raw_Data!P221)="-"),"Not Assigned",PROPER(TRIM(Raw_Data!P221)))</f>
        <v>Central Ordnance Suppliers</v>
      </c>
      <c r="Q221" s="24" t="str">
        <f t="shared" si="18"/>
        <v/>
      </c>
      <c r="R221" s="17" t="str">
        <f t="shared" si="19"/>
        <v/>
      </c>
      <c r="S221" s="17" t="str">
        <f>IF(COUNTIF($A$2:A221,A221)&gt;1,"Duplicate","Unique")</f>
        <v>Unique</v>
      </c>
      <c r="T221" s="17" t="str">
        <f t="shared" si="20"/>
        <v>No</v>
      </c>
      <c r="U221" s="17" t="str">
        <f t="shared" si="21"/>
        <v>No</v>
      </c>
      <c r="V221" s="17" t="str">
        <f t="shared" si="22"/>
        <v>Yes</v>
      </c>
      <c r="W221" s="17" t="str">
        <f t="shared" si="23"/>
        <v>Jan-2025</v>
      </c>
    </row>
    <row r="222" spans="1:23" x14ac:dyDescent="0.3">
      <c r="A222" s="17" t="str">
        <f>TRIM(Raw_Data!A222)</f>
        <v>REQ-2025-0221</v>
      </c>
      <c r="B222" s="22">
        <f>IF(Raw_Data!B222="","",IF(ISNUMBER(Raw_Data!B222),Raw_Data!B222,IF(ISNUMBER(SEARCH("/",Raw_Data!B222)),IFERROR(DATE(VALUE(RIGHT(Raw_Data!B222,4)),VALUE(MID(Raw_Data!B222,4,2)),VALUE(LEFT(Raw_Data!B222,2))),"Invalid Date"),IFERROR(DATEVALUE(Raw_Data!B222),"Invalid Date"))))</f>
        <v>45676</v>
      </c>
      <c r="C222" s="17" t="str">
        <f>IF(TRIM(Raw_Data!C222)="","",PROPER(TRIM(Raw_Data!C222)))</f>
        <v>Unit H - Air Defence</v>
      </c>
      <c r="D222" s="17" t="str">
        <f>IF(TRIM(Raw_Data!D222)="","Not Specified",IFERROR(INDEX(Lookup_Tables!$H$6:$H$12,MATCH(TRIM(Raw_Data!D222),Lookup_Tables!$G$6:$G$12,0)),"Unknown - Review"))</f>
        <v>Eastern</v>
      </c>
      <c r="E222" s="17" t="str">
        <f>IF(TRIM(Raw_Data!E222)="","Not Specified",IFERROR(INDEX(Lookup_Tables!$B$6:$B$18,MATCH(TRIM(Raw_Data!E222),Lookup_Tables!$A$6:$A$18,0)),"Unknown - Review"))</f>
        <v>Tents &amp; Shelter</v>
      </c>
      <c r="F222" s="17" t="str">
        <f>IF(TRIM(Raw_Data!F222)="","",TRIM(Raw_Data!F222))</f>
        <v>Camouflage Net</v>
      </c>
      <c r="G222" s="17">
        <f>IF(Raw_Data!G222="","",IF(VALUE(Raw_Data!G222)&lt;=0,"Invalid",VALUE(Raw_Data!G222)))</f>
        <v>123</v>
      </c>
      <c r="H222" s="17">
        <f>IF(Raw_Data!H222="","",IF(VALUE(Raw_Data!H222)&lt;=0,"Invalid",VALUE(Raw_Data!H222)))</f>
        <v>101</v>
      </c>
      <c r="I222" s="23">
        <f>IFERROR(VALUE(SUBSTITUTE(SUBSTITUTE(Raw_Data!I222,"₹",""),",","")),"")</f>
        <v>14316</v>
      </c>
      <c r="J222" s="17" t="str">
        <f>IF(TRIM(Raw_Data!J222)="","Not Specified",PROPER(TRIM(Raw_Data!J222)))</f>
        <v>Routine</v>
      </c>
      <c r="K222" s="17" t="str">
        <f>IF(TRIM(Raw_Data!K222)="","Not Specified",IFERROR(INDEX(Lookup_Tables!$E$6:$E$13,MATCH(TRIM(Raw_Data!K222),Lookup_Tables!$D$6:$D$13,0)),"Unknown - Review"))</f>
        <v>Dispatched</v>
      </c>
      <c r="L222" s="17" t="str">
        <f>IF(TRIM(Raw_Data!L222)="","",PROPER(TRIM(Raw_Data!L222)))</f>
        <v>Unit Commander</v>
      </c>
      <c r="M222" s="22">
        <f>IF(Raw_Data!M222="","",IF(ISNUMBER(Raw_Data!M222),Raw_Data!M222,IF(ISNUMBER(SEARCH("/",Raw_Data!M222)),IFERROR(DATE(VALUE(RIGHT(Raw_Data!M222,4)),VALUE(MID(Raw_Data!M222,4,2)),VALUE(LEFT(Raw_Data!M222,2))),"Invalid Date"),IFERROR(DATEVALUE(Raw_Data!M222),"Invalid Date"))))</f>
        <v>45678</v>
      </c>
      <c r="N222" s="22">
        <f>IF(Raw_Data!N222="","",IF(ISNUMBER(Raw_Data!N222),Raw_Data!N222,IF(ISNUMBER(SEARCH("/",Raw_Data!N222)),IFERROR(DATE(VALUE(RIGHT(Raw_Data!N222,4)),VALUE(MID(Raw_Data!N222,4,2)),VALUE(LEFT(Raw_Data!N222,2))),"Invalid Date"),IFERROR(DATEVALUE(Raw_Data!N222),"Invalid Date"))))</f>
        <v>45691</v>
      </c>
      <c r="O222" s="22" t="str">
        <f>IF(Raw_Data!O222="","",IF(ISNUMBER(Raw_Data!O222),Raw_Data!O222,IF(ISNUMBER(SEARCH("/",Raw_Data!O222)),IFERROR(DATE(VALUE(RIGHT(Raw_Data!O222,4)),VALUE(MID(Raw_Data!O222,4,2)),VALUE(LEFT(Raw_Data!O222,2))),"Invalid Date"),IFERROR(DATEVALUE(Raw_Data!O222),"Invalid Date"))))</f>
        <v/>
      </c>
      <c r="P222" s="17" t="str">
        <f>IF(OR(TRIM(Raw_Data!P222)="",TRIM(Raw_Data!P222)="N/A",TRIM(Raw_Data!P222)="TBD",TRIM(Raw_Data!P222)="-"),"Not Assigned",PROPER(TRIM(Raw_Data!P222)))</f>
        <v>Rapid Vendors Ltd</v>
      </c>
      <c r="Q222" s="24">
        <f t="shared" si="18"/>
        <v>1445916</v>
      </c>
      <c r="R222" s="17" t="str">
        <f t="shared" si="19"/>
        <v/>
      </c>
      <c r="S222" s="17" t="str">
        <f>IF(COUNTIF($A$2:A222,A222)&gt;1,"Duplicate","Unique")</f>
        <v>Unique</v>
      </c>
      <c r="T222" s="17" t="str">
        <f t="shared" si="20"/>
        <v>No</v>
      </c>
      <c r="U222" s="17" t="str">
        <f t="shared" si="21"/>
        <v>No</v>
      </c>
      <c r="V222" s="17" t="str">
        <f t="shared" si="22"/>
        <v>Yes</v>
      </c>
      <c r="W222" s="17" t="str">
        <f t="shared" si="23"/>
        <v>Jan-2025</v>
      </c>
    </row>
    <row r="223" spans="1:23" x14ac:dyDescent="0.3">
      <c r="A223" s="17" t="str">
        <f>TRIM(Raw_Data!A223)</f>
        <v>REQ-2025-0222</v>
      </c>
      <c r="B223" s="22">
        <f>IF(Raw_Data!B223="","",IF(ISNUMBER(Raw_Data!B223),Raw_Data!B223,IF(ISNUMBER(SEARCH("/",Raw_Data!B223)),IFERROR(DATE(VALUE(RIGHT(Raw_Data!B223,4)),VALUE(MID(Raw_Data!B223,4,2)),VALUE(LEFT(Raw_Data!B223,2))),"Invalid Date"),IFERROR(DATEVALUE(Raw_Data!B223),"Invalid Date"))))</f>
        <v>46002</v>
      </c>
      <c r="C223" s="17" t="str">
        <f>IF(TRIM(Raw_Data!C223)="","",PROPER(TRIM(Raw_Data!C223)))</f>
        <v>Unit E - Medical Corps</v>
      </c>
      <c r="D223" s="17" t="str">
        <f>IF(TRIM(Raw_Data!D223)="","Not Specified",IFERROR(INDEX(Lookup_Tables!$H$6:$H$12,MATCH(TRIM(Raw_Data!D223),Lookup_Tables!$G$6:$G$12,0)),"Unknown - Review"))</f>
        <v>Central</v>
      </c>
      <c r="E223" s="17" t="str">
        <f>IF(TRIM(Raw_Data!E223)="","Not Specified",IFERROR(INDEX(Lookup_Tables!$B$6:$B$18,MATCH(TRIM(Raw_Data!E223),Lookup_Tables!$A$6:$A$18,0)),"Unknown - Review"))</f>
        <v>Construction Material</v>
      </c>
      <c r="F223" s="17" t="str">
        <f>IF(TRIM(Raw_Data!F223)="","",TRIM(Raw_Data!F223))</f>
        <v>Timber Plank Set</v>
      </c>
      <c r="G223" s="17">
        <f>IF(Raw_Data!G223="","",IF(VALUE(Raw_Data!G223)&lt;=0,"Invalid",VALUE(Raw_Data!G223)))</f>
        <v>414</v>
      </c>
      <c r="H223" s="17">
        <f>IF(Raw_Data!H223="","",IF(VALUE(Raw_Data!H223)&lt;=0,"Invalid",VALUE(Raw_Data!H223)))</f>
        <v>315</v>
      </c>
      <c r="I223" s="23">
        <f>IFERROR(VALUE(SUBSTITUTE(SUBSTITUTE(Raw_Data!I223,"₹",""),",","")),"")</f>
        <v>31128</v>
      </c>
      <c r="J223" s="17" t="str">
        <f>IF(TRIM(Raw_Data!J223)="","Not Specified",PROPER(TRIM(Raw_Data!J223)))</f>
        <v>Low</v>
      </c>
      <c r="K223" s="17" t="str">
        <f>IF(TRIM(Raw_Data!K223)="","Not Specified",IFERROR(INDEX(Lookup_Tables!$E$6:$E$13,MATCH(TRIM(Raw_Data!K223),Lookup_Tables!$D$6:$D$13,0)),"Unknown - Review"))</f>
        <v>Delivered</v>
      </c>
      <c r="L223" s="17" t="str">
        <f>IF(TRIM(Raw_Data!L223)="","",PROPER(TRIM(Raw_Data!L223)))</f>
        <v>Unit Commander</v>
      </c>
      <c r="M223" s="22">
        <f>IF(Raw_Data!M223="","",IF(ISNUMBER(Raw_Data!M223),Raw_Data!M223,IF(ISNUMBER(SEARCH("/",Raw_Data!M223)),IFERROR(DATE(VALUE(RIGHT(Raw_Data!M223,4)),VALUE(MID(Raw_Data!M223,4,2)),VALUE(LEFT(Raw_Data!M223,2))),"Invalid Date"),IFERROR(DATEVALUE(Raw_Data!M223),"Invalid Date"))))</f>
        <v>46004</v>
      </c>
      <c r="N223" s="22">
        <f>IF(Raw_Data!N223="","",IF(ISNUMBER(Raw_Data!N223),Raw_Data!N223,IF(ISNUMBER(SEARCH("/",Raw_Data!N223)),IFERROR(DATE(VALUE(RIGHT(Raw_Data!N223,4)),VALUE(MID(Raw_Data!N223,4,2)),VALUE(LEFT(Raw_Data!N223,2))),"Invalid Date"),IFERROR(DATEVALUE(Raw_Data!N223),"Invalid Date"))))</f>
        <v>46030</v>
      </c>
      <c r="O223" s="22">
        <f>IF(Raw_Data!O223="","",IF(ISNUMBER(Raw_Data!O223),Raw_Data!O223,IF(ISNUMBER(SEARCH("/",Raw_Data!O223)),IFERROR(DATE(VALUE(RIGHT(Raw_Data!O223,4)),VALUE(MID(Raw_Data!O223,4,2)),VALUE(LEFT(Raw_Data!O223,2))),"Invalid Date"),IFERROR(DATEVALUE(Raw_Data!O223),"Invalid Date"))))</f>
        <v>46040</v>
      </c>
      <c r="P223" s="17" t="str">
        <f>IF(OR(TRIM(Raw_Data!P223)="",TRIM(Raw_Data!P223)="N/A",TRIM(Raw_Data!P223)="TBD",TRIM(Raw_Data!P223)="-"),"Not Assigned",PROPER(TRIM(Raw_Data!P223)))</f>
        <v>National Defence Stores</v>
      </c>
      <c r="Q223" s="24">
        <f t="shared" si="18"/>
        <v>9805320</v>
      </c>
      <c r="R223" s="17">
        <f t="shared" si="19"/>
        <v>10</v>
      </c>
      <c r="S223" s="17" t="str">
        <f>IF(COUNTIF($A$2:A223,A223)&gt;1,"Duplicate","Unique")</f>
        <v>Unique</v>
      </c>
      <c r="T223" s="17" t="str">
        <f t="shared" si="20"/>
        <v>No</v>
      </c>
      <c r="U223" s="17" t="str">
        <f t="shared" si="21"/>
        <v>No</v>
      </c>
      <c r="V223" s="17" t="str">
        <f t="shared" si="22"/>
        <v>Yes</v>
      </c>
      <c r="W223" s="17" t="str">
        <f t="shared" si="23"/>
        <v>Dec-2025</v>
      </c>
    </row>
    <row r="224" spans="1:23" x14ac:dyDescent="0.3">
      <c r="A224" s="17" t="str">
        <f>TRIM(Raw_Data!A224)</f>
        <v>REQ-2025-0223</v>
      </c>
      <c r="B224" s="22">
        <f>IF(Raw_Data!B224="","",IF(ISNUMBER(Raw_Data!B224),Raw_Data!B224,IF(ISNUMBER(SEARCH("/",Raw_Data!B224)),IFERROR(DATE(VALUE(RIGHT(Raw_Data!B224,4)),VALUE(MID(Raw_Data!B224,4,2)),VALUE(LEFT(Raw_Data!B224,2))),"Invalid Date"),IFERROR(DATEVALUE(Raw_Data!B224),"Invalid Date"))))</f>
        <v>45790</v>
      </c>
      <c r="C224" s="17" t="str">
        <f>IF(TRIM(Raw_Data!C224)="","",PROPER(TRIM(Raw_Data!C224)))</f>
        <v>Unit D - Signals</v>
      </c>
      <c r="D224" s="17" t="str">
        <f>IF(TRIM(Raw_Data!D224)="","Not Specified",IFERROR(INDEX(Lookup_Tables!$H$6:$H$12,MATCH(TRIM(Raw_Data!D224),Lookup_Tables!$G$6:$G$12,0)),"Unknown - Review"))</f>
        <v>Western</v>
      </c>
      <c r="E224" s="17" t="str">
        <f>IF(TRIM(Raw_Data!E224)="","Not Specified",IFERROR(INDEX(Lookup_Tables!$B$6:$B$18,MATCH(TRIM(Raw_Data!E224),Lookup_Tables!$A$6:$A$18,0)),"Unknown - Review"))</f>
        <v>Medical Supplies</v>
      </c>
      <c r="F224" s="17" t="str">
        <f>IF(TRIM(Raw_Data!F224)="","",TRIM(Raw_Data!F224))</f>
        <v>Antiseptic Solution (5L)</v>
      </c>
      <c r="G224" s="17">
        <f>IF(Raw_Data!G224="","",IF(VALUE(Raw_Data!G224)&lt;=0,"Invalid",VALUE(Raw_Data!G224)))</f>
        <v>399</v>
      </c>
      <c r="H224" s="17">
        <f>IF(Raw_Data!H224="","",IF(VALUE(Raw_Data!H224)&lt;=0,"Invalid",VALUE(Raw_Data!H224)))</f>
        <v>297</v>
      </c>
      <c r="I224" s="23">
        <f>IFERROR(VALUE(SUBSTITUTE(SUBSTITUTE(Raw_Data!I224,"₹",""),",","")),"")</f>
        <v>31103</v>
      </c>
      <c r="J224" s="17" t="str">
        <f>IF(TRIM(Raw_Data!J224)="","Not Specified",PROPER(TRIM(Raw_Data!J224)))</f>
        <v>Low</v>
      </c>
      <c r="K224" s="17" t="str">
        <f>IF(TRIM(Raw_Data!K224)="","Not Specified",IFERROR(INDEX(Lookup_Tables!$E$6:$E$13,MATCH(TRIM(Raw_Data!K224),Lookup_Tables!$D$6:$D$13,0)),"Unknown - Review"))</f>
        <v>Delivered</v>
      </c>
      <c r="L224" s="17" t="str">
        <f>IF(TRIM(Raw_Data!L224)="","",PROPER(TRIM(Raw_Data!L224)))</f>
        <v>Quartermaster</v>
      </c>
      <c r="M224" s="22">
        <f>IF(Raw_Data!M224="","",IF(ISNUMBER(Raw_Data!M224),Raw_Data!M224,IF(ISNUMBER(SEARCH("/",Raw_Data!M224)),IFERROR(DATE(VALUE(RIGHT(Raw_Data!M224,4)),VALUE(MID(Raw_Data!M224,4,2)),VALUE(LEFT(Raw_Data!M224,2))),"Invalid Date"),IFERROR(DATEVALUE(Raw_Data!M224),"Invalid Date"))))</f>
        <v>45799</v>
      </c>
      <c r="N224" s="22">
        <f>IF(Raw_Data!N224="","",IF(ISNUMBER(Raw_Data!N224),Raw_Data!N224,IF(ISNUMBER(SEARCH("/",Raw_Data!N224)),IFERROR(DATE(VALUE(RIGHT(Raw_Data!N224,4)),VALUE(MID(Raw_Data!N224,4,2)),VALUE(LEFT(Raw_Data!N224,2))),"Invalid Date"),IFERROR(DATEVALUE(Raw_Data!N224),"Invalid Date"))))</f>
        <v>45823</v>
      </c>
      <c r="O224" s="22">
        <f>IF(Raw_Data!O224="","",IF(ISNUMBER(Raw_Data!O224),Raw_Data!O224,IF(ISNUMBER(SEARCH("/",Raw_Data!O224)),IFERROR(DATE(VALUE(RIGHT(Raw_Data!O224,4)),VALUE(MID(Raw_Data!O224,4,2)),VALUE(LEFT(Raw_Data!O224,2))),"Invalid Date"),IFERROR(DATEVALUE(Raw_Data!O224),"Invalid Date"))))</f>
        <v>45839</v>
      </c>
      <c r="P224" s="17" t="str">
        <f>IF(OR(TRIM(Raw_Data!P224)="",TRIM(Raw_Data!P224)="N/A",TRIM(Raw_Data!P224)="TBD",TRIM(Raw_Data!P224)="-"),"Not Assigned",PROPER(TRIM(Raw_Data!P224)))</f>
        <v>Sena Supply Co</v>
      </c>
      <c r="Q224" s="24">
        <f t="shared" si="18"/>
        <v>9237591</v>
      </c>
      <c r="R224" s="17">
        <f t="shared" si="19"/>
        <v>16</v>
      </c>
      <c r="S224" s="17" t="str">
        <f>IF(COUNTIF($A$2:A224,A224)&gt;1,"Duplicate","Unique")</f>
        <v>Unique</v>
      </c>
      <c r="T224" s="17" t="str">
        <f t="shared" si="20"/>
        <v>No</v>
      </c>
      <c r="U224" s="17" t="str">
        <f t="shared" si="21"/>
        <v>No</v>
      </c>
      <c r="V224" s="17" t="str">
        <f t="shared" si="22"/>
        <v>Yes</v>
      </c>
      <c r="W224" s="17" t="str">
        <f t="shared" si="23"/>
        <v>May-2025</v>
      </c>
    </row>
    <row r="225" spans="1:23" x14ac:dyDescent="0.3">
      <c r="A225" s="17" t="str">
        <f>TRIM(Raw_Data!A225)</f>
        <v>REQ-2025-0224</v>
      </c>
      <c r="B225" s="22">
        <f>IF(Raw_Data!B225="","",IF(ISNUMBER(Raw_Data!B225),Raw_Data!B225,IF(ISNUMBER(SEARCH("/",Raw_Data!B225)),IFERROR(DATE(VALUE(RIGHT(Raw_Data!B225,4)),VALUE(MID(Raw_Data!B225,4,2)),VALUE(LEFT(Raw_Data!B225,2))),"Invalid Date"),IFERROR(DATEVALUE(Raw_Data!B225),"Invalid Date"))))</f>
        <v>45736</v>
      </c>
      <c r="C225" s="17" t="str">
        <f>IF(TRIM(Raw_Data!C225)="","",PROPER(TRIM(Raw_Data!C225)))</f>
        <v>Unit H - Air Defence</v>
      </c>
      <c r="D225" s="17" t="str">
        <f>IF(TRIM(Raw_Data!D225)="","Not Specified",IFERROR(INDEX(Lookup_Tables!$H$6:$H$12,MATCH(TRIM(Raw_Data!D225),Lookup_Tables!$G$6:$G$12,0)),"Unknown - Review"))</f>
        <v>Eastern</v>
      </c>
      <c r="E225" s="17" t="str">
        <f>IF(TRIM(Raw_Data!E225)="","Not Specified",IFERROR(INDEX(Lookup_Tables!$B$6:$B$18,MATCH(TRIM(Raw_Data!E225),Lookup_Tables!$A$6:$A$18,0)),"Unknown - Review"))</f>
        <v>Office &amp; IT Equipment</v>
      </c>
      <c r="F225" s="17" t="str">
        <f>IF(TRIM(Raw_Data!F225)="","",TRIM(Raw_Data!F225))</f>
        <v>Desktop Computer</v>
      </c>
      <c r="G225" s="17">
        <f>IF(Raw_Data!G225="","",IF(VALUE(Raw_Data!G225)&lt;=0,"Invalid",VALUE(Raw_Data!G225)))</f>
        <v>67</v>
      </c>
      <c r="H225" s="17">
        <f>IF(Raw_Data!H225="","",IF(VALUE(Raw_Data!H225)&lt;=0,"Invalid",VALUE(Raw_Data!H225)))</f>
        <v>55</v>
      </c>
      <c r="I225" s="23">
        <f>IFERROR(VALUE(SUBSTITUTE(SUBSTITUTE(Raw_Data!I225,"₹",""),",","")),"")</f>
        <v>34641.14</v>
      </c>
      <c r="J225" s="17" t="str">
        <f>IF(TRIM(Raw_Data!J225)="","Not Specified",PROPER(TRIM(Raw_Data!J225)))</f>
        <v>Low</v>
      </c>
      <c r="K225" s="17" t="str">
        <f>IF(TRIM(Raw_Data!K225)="","Not Specified",IFERROR(INDEX(Lookup_Tables!$E$6:$E$13,MATCH(TRIM(Raw_Data!K225),Lookup_Tables!$D$6:$D$13,0)),"Unknown - Review"))</f>
        <v>Dispatched</v>
      </c>
      <c r="L225" s="17" t="str">
        <f>IF(TRIM(Raw_Data!L225)="","",PROPER(TRIM(Raw_Data!L225)))</f>
        <v>Logistics Officer</v>
      </c>
      <c r="M225" s="22">
        <f>IF(Raw_Data!M225="","",IF(ISNUMBER(Raw_Data!M225),Raw_Data!M225,IF(ISNUMBER(SEARCH("/",Raw_Data!M225)),IFERROR(DATE(VALUE(RIGHT(Raw_Data!M225,4)),VALUE(MID(Raw_Data!M225,4,2)),VALUE(LEFT(Raw_Data!M225,2))),"Invalid Date"),IFERROR(DATEVALUE(Raw_Data!M225),"Invalid Date"))))</f>
        <v>45740</v>
      </c>
      <c r="N225" s="22">
        <f>IF(Raw_Data!N225="","",IF(ISNUMBER(Raw_Data!N225),Raw_Data!N225,IF(ISNUMBER(SEARCH("/",Raw_Data!N225)),IFERROR(DATE(VALUE(RIGHT(Raw_Data!N225,4)),VALUE(MID(Raw_Data!N225,4,2)),VALUE(LEFT(Raw_Data!N225,2))),"Invalid Date"),IFERROR(DATEVALUE(Raw_Data!N225),"Invalid Date"))))</f>
        <v>45770</v>
      </c>
      <c r="O225" s="22" t="str">
        <f>IF(Raw_Data!O225="","",IF(ISNUMBER(Raw_Data!O225),Raw_Data!O225,IF(ISNUMBER(SEARCH("/",Raw_Data!O225)),IFERROR(DATE(VALUE(RIGHT(Raw_Data!O225,4)),VALUE(MID(Raw_Data!O225,4,2)),VALUE(LEFT(Raw_Data!O225,2))),"Invalid Date"),IFERROR(DATEVALUE(Raw_Data!O225),"Invalid Date"))))</f>
        <v/>
      </c>
      <c r="P225" s="17" t="str">
        <f>IF(OR(TRIM(Raw_Data!P225)="",TRIM(Raw_Data!P225)="N/A",TRIM(Raw_Data!P225)="TBD",TRIM(Raw_Data!P225)="-"),"Not Assigned",PROPER(TRIM(Raw_Data!P225)))</f>
        <v>Central Ordnance Suppliers</v>
      </c>
      <c r="Q225" s="24">
        <f t="shared" si="18"/>
        <v>1905262.7</v>
      </c>
      <c r="R225" s="17" t="str">
        <f t="shared" si="19"/>
        <v/>
      </c>
      <c r="S225" s="17" t="str">
        <f>IF(COUNTIF($A$2:A225,A225)&gt;1,"Duplicate","Unique")</f>
        <v>Unique</v>
      </c>
      <c r="T225" s="17" t="str">
        <f t="shared" si="20"/>
        <v>No</v>
      </c>
      <c r="U225" s="17" t="str">
        <f t="shared" si="21"/>
        <v>No</v>
      </c>
      <c r="V225" s="17" t="str">
        <f t="shared" si="22"/>
        <v>Yes</v>
      </c>
      <c r="W225" s="17" t="str">
        <f t="shared" si="23"/>
        <v>Mar-2025</v>
      </c>
    </row>
    <row r="226" spans="1:23" x14ac:dyDescent="0.3">
      <c r="A226" s="17" t="str">
        <f>TRIM(Raw_Data!A226)</f>
        <v>REQ-2025-0225</v>
      </c>
      <c r="B226" s="22">
        <f>IF(Raw_Data!B226="","",IF(ISNUMBER(Raw_Data!B226),Raw_Data!B226,IF(ISNUMBER(SEARCH("/",Raw_Data!B226)),IFERROR(DATE(VALUE(RIGHT(Raw_Data!B226,4)),VALUE(MID(Raw_Data!B226,4,2)),VALUE(LEFT(Raw_Data!B226,2))),"Invalid Date"),IFERROR(DATEVALUE(Raw_Data!B226),"Invalid Date"))))</f>
        <v>45922</v>
      </c>
      <c r="C226" s="17" t="str">
        <f>IF(TRIM(Raw_Data!C226)="","",PROPER(TRIM(Raw_Data!C226)))</f>
        <v>Unit F - Ordnance Depot</v>
      </c>
      <c r="D226" s="17" t="str">
        <f>IF(TRIM(Raw_Data!D226)="","Not Specified",IFERROR(INDEX(Lookup_Tables!$H$6:$H$12,MATCH(TRIM(Raw_Data!D226),Lookup_Tables!$G$6:$G$12,0)),"Unknown - Review"))</f>
        <v>Western</v>
      </c>
      <c r="E226" s="17" t="str">
        <f>IF(TRIM(Raw_Data!E226)="","Not Specified",IFERROR(INDEX(Lookup_Tables!$B$6:$B$18,MATCH(TRIM(Raw_Data!E226),Lookup_Tables!$A$6:$A$18,0)),"Unknown - Review"))</f>
        <v>Uniforms &amp; Clothing</v>
      </c>
      <c r="F226" s="17" t="str">
        <f>IF(TRIM(Raw_Data!F226)="","",TRIM(Raw_Data!F226))</f>
        <v>Combat Uniform Set</v>
      </c>
      <c r="G226" s="17">
        <f>IF(Raw_Data!G226="","",IF(VALUE(Raw_Data!G226)&lt;=0,"Invalid",VALUE(Raw_Data!G226)))</f>
        <v>166</v>
      </c>
      <c r="H226" s="17">
        <f>IF(Raw_Data!H226="","",IF(VALUE(Raw_Data!H226)&lt;=0,"Invalid",VALUE(Raw_Data!H226)))</f>
        <v>137</v>
      </c>
      <c r="I226" s="23">
        <f>IFERROR(VALUE(SUBSTITUTE(SUBSTITUTE(Raw_Data!I226,"₹",""),",","")),"")</f>
        <v>17788</v>
      </c>
      <c r="J226" s="17" t="str">
        <f>IF(TRIM(Raw_Data!J226)="","Not Specified",PROPER(TRIM(Raw_Data!J226)))</f>
        <v>High</v>
      </c>
      <c r="K226" s="17" t="str">
        <f>IF(TRIM(Raw_Data!K226)="","Not Specified",IFERROR(INDEX(Lookup_Tables!$E$6:$E$13,MATCH(TRIM(Raw_Data!K226),Lookup_Tables!$D$6:$D$13,0)),"Unknown - Review"))</f>
        <v>Delivered</v>
      </c>
      <c r="L226" s="17" t="str">
        <f>IF(TRIM(Raw_Data!L226)="","",PROPER(TRIM(Raw_Data!L226)))</f>
        <v>Stores Officer</v>
      </c>
      <c r="M226" s="22" t="str">
        <f>IF(Raw_Data!M226="","",IF(ISNUMBER(Raw_Data!M226),Raw_Data!M226,IF(ISNUMBER(SEARCH("/",Raw_Data!M226)),IFERROR(DATE(VALUE(RIGHT(Raw_Data!M226,4)),VALUE(MID(Raw_Data!M226,4,2)),VALUE(LEFT(Raw_Data!M226,2))),"Invalid Date"),IFERROR(DATEVALUE(Raw_Data!M226),"Invalid Date"))))</f>
        <v/>
      </c>
      <c r="N226" s="22">
        <f>IF(Raw_Data!N226="","",IF(ISNUMBER(Raw_Data!N226),Raw_Data!N226,IF(ISNUMBER(SEARCH("/",Raw_Data!N226)),IFERROR(DATE(VALUE(RIGHT(Raw_Data!N226,4)),VALUE(MID(Raw_Data!N226,4,2)),VALUE(LEFT(Raw_Data!N226,2))),"Invalid Date"),IFERROR(DATEVALUE(Raw_Data!N226),"Invalid Date"))))</f>
        <v>45949</v>
      </c>
      <c r="O226" s="22">
        <f>IF(Raw_Data!O226="","",IF(ISNUMBER(Raw_Data!O226),Raw_Data!O226,IF(ISNUMBER(SEARCH("/",Raw_Data!O226)),IFERROR(DATE(VALUE(RIGHT(Raw_Data!O226,4)),VALUE(MID(Raw_Data!O226,4,2)),VALUE(LEFT(Raw_Data!O226,2))),"Invalid Date"),IFERROR(DATEVALUE(Raw_Data!O226),"Invalid Date"))))</f>
        <v>45964</v>
      </c>
      <c r="P226" s="17" t="str">
        <f>IF(OR(TRIM(Raw_Data!P226)="",TRIM(Raw_Data!P226)="N/A",TRIM(Raw_Data!P226)="TBD",TRIM(Raw_Data!P226)="-"),"Not Assigned",PROPER(TRIM(Raw_Data!P226)))</f>
        <v>National Defence Stores</v>
      </c>
      <c r="Q226" s="24">
        <f t="shared" si="18"/>
        <v>2436956</v>
      </c>
      <c r="R226" s="17">
        <f t="shared" si="19"/>
        <v>15</v>
      </c>
      <c r="S226" s="17" t="str">
        <f>IF(COUNTIF($A$2:A226,A226)&gt;1,"Duplicate","Unique")</f>
        <v>Unique</v>
      </c>
      <c r="T226" s="17" t="str">
        <f t="shared" si="20"/>
        <v>No</v>
      </c>
      <c r="U226" s="17" t="str">
        <f t="shared" si="21"/>
        <v>No</v>
      </c>
      <c r="V226" s="17" t="str">
        <f t="shared" si="22"/>
        <v>Yes</v>
      </c>
      <c r="W226" s="17" t="str">
        <f t="shared" si="23"/>
        <v>Sep-2025</v>
      </c>
    </row>
    <row r="227" spans="1:23" x14ac:dyDescent="0.3">
      <c r="A227" s="17" t="str">
        <f>TRIM(Raw_Data!A227)</f>
        <v>REQ-2025-0226</v>
      </c>
      <c r="B227" s="22">
        <f>IF(Raw_Data!B227="","",IF(ISNUMBER(Raw_Data!B227),Raw_Data!B227,IF(ISNUMBER(SEARCH("/",Raw_Data!B227)),IFERROR(DATE(VALUE(RIGHT(Raw_Data!B227,4)),VALUE(MID(Raw_Data!B227,4,2)),VALUE(LEFT(Raw_Data!B227,2))),"Invalid Date"),IFERROR(DATEVALUE(Raw_Data!B227),"Invalid Date"))))</f>
        <v>45974</v>
      </c>
      <c r="C227" s="17" t="str">
        <f>IF(TRIM(Raw_Data!C227)="","",PROPER(TRIM(Raw_Data!C227)))</f>
        <v>Unit H - Air Defence</v>
      </c>
      <c r="D227" s="17" t="str">
        <f>IF(TRIM(Raw_Data!D227)="","Not Specified",IFERROR(INDEX(Lookup_Tables!$H$6:$H$12,MATCH(TRIM(Raw_Data!D227),Lookup_Tables!$G$6:$G$12,0)),"Unknown - Review"))</f>
        <v>Eastern</v>
      </c>
      <c r="E227" s="17" t="str">
        <f>IF(TRIM(Raw_Data!E227)="","Not Specified",IFERROR(INDEX(Lookup_Tables!$B$6:$B$18,MATCH(TRIM(Raw_Data!E227),Lookup_Tables!$A$6:$A$18,0)),"Unknown - Review"))</f>
        <v>Tents &amp; Shelter</v>
      </c>
      <c r="F227" s="17" t="str">
        <f>IF(TRIM(Raw_Data!F227)="","",TRIM(Raw_Data!F227))</f>
        <v>Ground Sheet</v>
      </c>
      <c r="G227" s="17">
        <f>IF(Raw_Data!G227="","",IF(VALUE(Raw_Data!G227)&lt;=0,"Invalid",VALUE(Raw_Data!G227)))</f>
        <v>402</v>
      </c>
      <c r="H227" s="17">
        <f>IF(Raw_Data!H227="","",IF(VALUE(Raw_Data!H227)&lt;=0,"Invalid",VALUE(Raw_Data!H227)))</f>
        <v>285</v>
      </c>
      <c r="I227" s="23">
        <f>IFERROR(VALUE(SUBSTITUTE(SUBSTITUTE(Raw_Data!I227,"₹",""),",","")),"")</f>
        <v>15152.01</v>
      </c>
      <c r="J227" s="17" t="str">
        <f>IF(TRIM(Raw_Data!J227)="","Not Specified",PROPER(TRIM(Raw_Data!J227)))</f>
        <v>Low</v>
      </c>
      <c r="K227" s="17" t="str">
        <f>IF(TRIM(Raw_Data!K227)="","Not Specified",IFERROR(INDEX(Lookup_Tables!$E$6:$E$13,MATCH(TRIM(Raw_Data!K227),Lookup_Tables!$D$6:$D$13,0)),"Unknown - Review"))</f>
        <v>Delivered</v>
      </c>
      <c r="L227" s="17" t="str">
        <f>IF(TRIM(Raw_Data!L227)="","",PROPER(TRIM(Raw_Data!L227)))</f>
        <v>Unit Commander</v>
      </c>
      <c r="M227" s="22">
        <f>IF(Raw_Data!M227="","",IF(ISNUMBER(Raw_Data!M227),Raw_Data!M227,IF(ISNUMBER(SEARCH("/",Raw_Data!M227)),IFERROR(DATE(VALUE(RIGHT(Raw_Data!M227,4)),VALUE(MID(Raw_Data!M227,4,2)),VALUE(LEFT(Raw_Data!M227,2))),"Invalid Date"),IFERROR(DATEVALUE(Raw_Data!M227),"Invalid Date"))))</f>
        <v>45977</v>
      </c>
      <c r="N227" s="22">
        <f>IF(Raw_Data!N227="","",IF(ISNUMBER(Raw_Data!N227),Raw_Data!N227,IF(ISNUMBER(SEARCH("/",Raw_Data!N227)),IFERROR(DATE(VALUE(RIGHT(Raw_Data!N227,4)),VALUE(MID(Raw_Data!N227,4,2)),VALUE(LEFT(Raw_Data!N227,2))),"Invalid Date"),IFERROR(DATEVALUE(Raw_Data!N227),"Invalid Date"))))</f>
        <v>45998</v>
      </c>
      <c r="O227" s="22">
        <f>IF(Raw_Data!O227="","",IF(ISNUMBER(Raw_Data!O227),Raw_Data!O227,IF(ISNUMBER(SEARCH("/",Raw_Data!O227)),IFERROR(DATE(VALUE(RIGHT(Raw_Data!O227,4)),VALUE(MID(Raw_Data!O227,4,2)),VALUE(LEFT(Raw_Data!O227,2))),"Invalid Date"),IFERROR(DATEVALUE(Raw_Data!O227),"Invalid Date"))))</f>
        <v>46010</v>
      </c>
      <c r="P227" s="17" t="str">
        <f>IF(OR(TRIM(Raw_Data!P227)="",TRIM(Raw_Data!P227)="N/A",TRIM(Raw_Data!P227)="TBD",TRIM(Raw_Data!P227)="-"),"Not Assigned",PROPER(TRIM(Raw_Data!P227)))</f>
        <v>Shakti Traders</v>
      </c>
      <c r="Q227" s="24">
        <f t="shared" si="18"/>
        <v>4318322.8499999996</v>
      </c>
      <c r="R227" s="17">
        <f t="shared" si="19"/>
        <v>12</v>
      </c>
      <c r="S227" s="17" t="str">
        <f>IF(COUNTIF($A$2:A227,A227)&gt;1,"Duplicate","Unique")</f>
        <v>Unique</v>
      </c>
      <c r="T227" s="17" t="str">
        <f t="shared" si="20"/>
        <v>No</v>
      </c>
      <c r="U227" s="17" t="str">
        <f t="shared" si="21"/>
        <v>No</v>
      </c>
      <c r="V227" s="17" t="str">
        <f t="shared" si="22"/>
        <v>Yes</v>
      </c>
      <c r="W227" s="17" t="str">
        <f t="shared" si="23"/>
        <v>Nov-2025</v>
      </c>
    </row>
    <row r="228" spans="1:23" x14ac:dyDescent="0.3">
      <c r="A228" s="17" t="str">
        <f>TRIM(Raw_Data!A228)</f>
        <v>REQ-2025-0227</v>
      </c>
      <c r="B228" s="22" t="str">
        <f>IF(Raw_Data!B228="","",IF(ISNUMBER(Raw_Data!B228),Raw_Data!B228,IF(ISNUMBER(SEARCH("/",Raw_Data!B228)),IFERROR(DATE(VALUE(RIGHT(Raw_Data!B228,4)),VALUE(MID(Raw_Data!B228,4,2)),VALUE(LEFT(Raw_Data!B228,2))),"Invalid Date"),IFERROR(DATEVALUE(Raw_Data!B228),"Invalid Date"))))</f>
        <v/>
      </c>
      <c r="C228" s="17" t="str">
        <f>IF(TRIM(Raw_Data!C228)="","",PROPER(TRIM(Raw_Data!C228)))</f>
        <v>Unit B - Artillery</v>
      </c>
      <c r="D228" s="17" t="str">
        <f>IF(TRIM(Raw_Data!D228)="","Not Specified",IFERROR(INDEX(Lookup_Tables!$H$6:$H$12,MATCH(TRIM(Raw_Data!D228),Lookup_Tables!$G$6:$G$12,0)),"Unknown - Review"))</f>
        <v>Southern</v>
      </c>
      <c r="E228" s="17" t="str">
        <f>IF(TRIM(Raw_Data!E228)="","Not Specified",IFERROR(INDEX(Lookup_Tables!$B$6:$B$18,MATCH(TRIM(Raw_Data!E228),Lookup_Tables!$A$6:$A$18,0)),"Unknown - Review"))</f>
        <v>Rations</v>
      </c>
      <c r="F228" s="17" t="str">
        <f>IF(TRIM(Raw_Data!F228)="","",TRIM(Raw_Data!F228))</f>
        <v>Wheat Flour (50kg bag)</v>
      </c>
      <c r="G228" s="17">
        <f>IF(Raw_Data!G228="","",IF(VALUE(Raw_Data!G228)&lt;=0,"Invalid",VALUE(Raw_Data!G228)))</f>
        <v>158</v>
      </c>
      <c r="H228" s="17">
        <f>IF(Raw_Data!H228="","",IF(VALUE(Raw_Data!H228)&lt;=0,"Invalid",VALUE(Raw_Data!H228)))</f>
        <v>144</v>
      </c>
      <c r="I228" s="23">
        <f>IFERROR(VALUE(SUBSTITUTE(SUBSTITUTE(Raw_Data!I228,"₹",""),",","")),"")</f>
        <v>30308.66</v>
      </c>
      <c r="J228" s="17" t="str">
        <f>IF(TRIM(Raw_Data!J228)="","Not Specified",PROPER(TRIM(Raw_Data!J228)))</f>
        <v>Medium</v>
      </c>
      <c r="K228" s="17" t="str">
        <f>IF(TRIM(Raw_Data!K228)="","Not Specified",IFERROR(INDEX(Lookup_Tables!$E$6:$E$13,MATCH(TRIM(Raw_Data!K228),Lookup_Tables!$D$6:$D$13,0)),"Unknown - Review"))</f>
        <v>Delivered</v>
      </c>
      <c r="L228" s="17" t="str">
        <f>IF(TRIM(Raw_Data!L228)="","",PROPER(TRIM(Raw_Data!L228)))</f>
        <v>Stores Officer</v>
      </c>
      <c r="M228" s="22">
        <f>IF(Raw_Data!M228="","",IF(ISNUMBER(Raw_Data!M228),Raw_Data!M228,IF(ISNUMBER(SEARCH("/",Raw_Data!M228)),IFERROR(DATE(VALUE(RIGHT(Raw_Data!M228,4)),VALUE(MID(Raw_Data!M228,4,2)),VALUE(LEFT(Raw_Data!M228,2))),"Invalid Date"),IFERROR(DATEVALUE(Raw_Data!M228),"Invalid Date"))))</f>
        <v>45838</v>
      </c>
      <c r="N228" s="22">
        <f>IF(Raw_Data!N228="","",IF(ISNUMBER(Raw_Data!N228),Raw_Data!N228,IF(ISNUMBER(SEARCH("/",Raw_Data!N228)),IFERROR(DATE(VALUE(RIGHT(Raw_Data!N228,4)),VALUE(MID(Raw_Data!N228,4,2)),VALUE(LEFT(Raw_Data!N228,2))),"Invalid Date"),IFERROR(DATEVALUE(Raw_Data!N228),"Invalid Date"))))</f>
        <v>45859</v>
      </c>
      <c r="O228" s="22">
        <f>IF(Raw_Data!O228="","",IF(ISNUMBER(Raw_Data!O228),Raw_Data!O228,IF(ISNUMBER(SEARCH("/",Raw_Data!O228)),IFERROR(DATE(VALUE(RIGHT(Raw_Data!O228,4)),VALUE(MID(Raw_Data!O228,4,2)),VALUE(LEFT(Raw_Data!O228,2))),"Invalid Date"),IFERROR(DATEVALUE(Raw_Data!O228),"Invalid Date"))))</f>
        <v>45877</v>
      </c>
      <c r="P228" s="17" t="str">
        <f>IF(OR(TRIM(Raw_Data!P228)="",TRIM(Raw_Data!P228)="N/A",TRIM(Raw_Data!P228)="TBD",TRIM(Raw_Data!P228)="-"),"Not Assigned",PROPER(TRIM(Raw_Data!P228)))</f>
        <v>Vikram Enterprises</v>
      </c>
      <c r="Q228" s="24">
        <f t="shared" si="18"/>
        <v>4364447.04</v>
      </c>
      <c r="R228" s="17">
        <f t="shared" si="19"/>
        <v>18</v>
      </c>
      <c r="S228" s="17" t="str">
        <f>IF(COUNTIF($A$2:A228,A228)&gt;1,"Duplicate","Unique")</f>
        <v>Unique</v>
      </c>
      <c r="T228" s="17" t="str">
        <f t="shared" si="20"/>
        <v>No</v>
      </c>
      <c r="U228" s="17" t="str">
        <f t="shared" si="21"/>
        <v>No</v>
      </c>
      <c r="V228" s="17" t="str">
        <f t="shared" si="22"/>
        <v>Yes</v>
      </c>
      <c r="W228" s="17" t="str">
        <f t="shared" si="23"/>
        <v/>
      </c>
    </row>
    <row r="229" spans="1:23" x14ac:dyDescent="0.3">
      <c r="A229" s="17" t="str">
        <f>TRIM(Raw_Data!A229)</f>
        <v>REQ-2025-0228</v>
      </c>
      <c r="B229" s="22">
        <f>IF(Raw_Data!B229="","",IF(ISNUMBER(Raw_Data!B229),Raw_Data!B229,IF(ISNUMBER(SEARCH("/",Raw_Data!B229)),IFERROR(DATE(VALUE(RIGHT(Raw_Data!B229,4)),VALUE(MID(Raw_Data!B229,4,2)),VALUE(LEFT(Raw_Data!B229,2))),"Invalid Date"),IFERROR(DATEVALUE(Raw_Data!B229),"Invalid Date"))))</f>
        <v>46010</v>
      </c>
      <c r="C229" s="17" t="str">
        <f>IF(TRIM(Raw_Data!C229)="","",PROPER(TRIM(Raw_Data!C229)))</f>
        <v>Unit E - Medical Corps</v>
      </c>
      <c r="D229" s="17" t="str">
        <f>IF(TRIM(Raw_Data!D229)="","Not Specified",IFERROR(INDEX(Lookup_Tables!$H$6:$H$12,MATCH(TRIM(Raw_Data!D229),Lookup_Tables!$G$6:$G$12,0)),"Unknown - Review"))</f>
        <v>Central</v>
      </c>
      <c r="E229" s="17" t="str">
        <f>IF(TRIM(Raw_Data!E229)="","Not Specified",IFERROR(INDEX(Lookup_Tables!$B$6:$B$18,MATCH(TRIM(Raw_Data!E229),Lookup_Tables!$A$6:$A$18,0)),"Unknown - Review"))</f>
        <v>Construction Material</v>
      </c>
      <c r="F229" s="17" t="str">
        <f>IF(TRIM(Raw_Data!F229)="","",TRIM(Raw_Data!F229))</f>
        <v>Timber Plank Set</v>
      </c>
      <c r="G229" s="17">
        <f>IF(Raw_Data!G229="","",IF(VALUE(Raw_Data!G229)&lt;=0,"Invalid",VALUE(Raw_Data!G229)))</f>
        <v>426</v>
      </c>
      <c r="H229" s="17">
        <f>IF(Raw_Data!H229="","",IF(VALUE(Raw_Data!H229)&lt;=0,"Invalid",VALUE(Raw_Data!H229)))</f>
        <v>360</v>
      </c>
      <c r="I229" s="23">
        <f>IFERROR(VALUE(SUBSTITUTE(SUBSTITUTE(Raw_Data!I229,"₹",""),",","")),"")</f>
        <v>20678.419999999998</v>
      </c>
      <c r="J229" s="17" t="str">
        <f>IF(TRIM(Raw_Data!J229)="","Not Specified",PROPER(TRIM(Raw_Data!J229)))</f>
        <v>Routine</v>
      </c>
      <c r="K229" s="17" t="str">
        <f>IF(TRIM(Raw_Data!K229)="","Not Specified",IFERROR(INDEX(Lookup_Tables!$E$6:$E$13,MATCH(TRIM(Raw_Data!K229),Lookup_Tables!$D$6:$D$13,0)),"Unknown - Review"))</f>
        <v>Delivered</v>
      </c>
      <c r="L229" s="17" t="str">
        <f>IF(TRIM(Raw_Data!L229)="","",PROPER(TRIM(Raw_Data!L229)))</f>
        <v>Unit Commander</v>
      </c>
      <c r="M229" s="22">
        <f>IF(Raw_Data!M229="","",IF(ISNUMBER(Raw_Data!M229),Raw_Data!M229,IF(ISNUMBER(SEARCH("/",Raw_Data!M229)),IFERROR(DATE(VALUE(RIGHT(Raw_Data!M229,4)),VALUE(MID(Raw_Data!M229,4,2)),VALUE(LEFT(Raw_Data!M229,2))),"Invalid Date"),IFERROR(DATEVALUE(Raw_Data!M229),"Invalid Date"))))</f>
        <v>46019</v>
      </c>
      <c r="N229" s="22">
        <f>IF(Raw_Data!N229="","",IF(ISNUMBER(Raw_Data!N229),Raw_Data!N229,IF(ISNUMBER(SEARCH("/",Raw_Data!N229)),IFERROR(DATE(VALUE(RIGHT(Raw_Data!N229,4)),VALUE(MID(Raw_Data!N229,4,2)),VALUE(LEFT(Raw_Data!N229,2))),"Invalid Date"),IFERROR(DATEVALUE(Raw_Data!N229),"Invalid Date"))))</f>
        <v>46040</v>
      </c>
      <c r="O229" s="22" t="str">
        <f>IF(Raw_Data!O229="","",IF(ISNUMBER(Raw_Data!O229),Raw_Data!O229,IF(ISNUMBER(SEARCH("/",Raw_Data!O229)),IFERROR(DATE(VALUE(RIGHT(Raw_Data!O229,4)),VALUE(MID(Raw_Data!O229,4,2)),VALUE(LEFT(Raw_Data!O229,2))),"Invalid Date"),IFERROR(DATEVALUE(Raw_Data!O229),"Invalid Date"))))</f>
        <v/>
      </c>
      <c r="P229" s="17" t="str">
        <f>IF(OR(TRIM(Raw_Data!P229)="",TRIM(Raw_Data!P229)="N/A",TRIM(Raw_Data!P229)="TBD",TRIM(Raw_Data!P229)="-"),"Not Assigned",PROPER(TRIM(Raw_Data!P229)))</f>
        <v>Vikram Enterprises</v>
      </c>
      <c r="Q229" s="24">
        <f t="shared" si="18"/>
        <v>7444231.1999999993</v>
      </c>
      <c r="R229" s="17" t="str">
        <f t="shared" si="19"/>
        <v/>
      </c>
      <c r="S229" s="17" t="str">
        <f>IF(COUNTIF($A$2:A229,A229)&gt;1,"Duplicate","Unique")</f>
        <v>Unique</v>
      </c>
      <c r="T229" s="17" t="str">
        <f t="shared" si="20"/>
        <v>No</v>
      </c>
      <c r="U229" s="17" t="str">
        <f t="shared" si="21"/>
        <v>No</v>
      </c>
      <c r="V229" s="17" t="str">
        <f t="shared" si="22"/>
        <v>Yes</v>
      </c>
      <c r="W229" s="17" t="str">
        <f t="shared" si="23"/>
        <v>Dec-2025</v>
      </c>
    </row>
    <row r="230" spans="1:23" x14ac:dyDescent="0.3">
      <c r="A230" s="17" t="str">
        <f>TRIM(Raw_Data!A230)</f>
        <v>REQ-2025-0229</v>
      </c>
      <c r="B230" s="22">
        <f>IF(Raw_Data!B230="","",IF(ISNUMBER(Raw_Data!B230),Raw_Data!B230,IF(ISNUMBER(SEARCH("/",Raw_Data!B230)),IFERROR(DATE(VALUE(RIGHT(Raw_Data!B230,4)),VALUE(MID(Raw_Data!B230,4,2)),VALUE(LEFT(Raw_Data!B230,2))),"Invalid Date"),IFERROR(DATEVALUE(Raw_Data!B230),"Invalid Date"))))</f>
        <v>45768</v>
      </c>
      <c r="C230" s="17" t="str">
        <f>IF(TRIM(Raw_Data!C230)="","",PROPER(TRIM(Raw_Data!C230)))</f>
        <v>Unit G - Transport Corps</v>
      </c>
      <c r="D230" s="17" t="str">
        <f>IF(TRIM(Raw_Data!D230)="","Not Specified",IFERROR(INDEX(Lookup_Tables!$H$6:$H$12,MATCH(TRIM(Raw_Data!D230),Lookup_Tables!$G$6:$G$12,0)),"Unknown - Review"))</f>
        <v>Southern</v>
      </c>
      <c r="E230" s="17" t="str">
        <f>IF(TRIM(Raw_Data!E230)="","Not Specified",IFERROR(INDEX(Lookup_Tables!$B$6:$B$18,MATCH(TRIM(Raw_Data!E230),Lookup_Tables!$A$6:$A$18,0)),"Unknown - Review"))</f>
        <v>Communication Equipment</v>
      </c>
      <c r="F230" s="17" t="str">
        <f>IF(TRIM(Raw_Data!F230)="","",TRIM(Raw_Data!F230))</f>
        <v>Battery Pack (Radio)</v>
      </c>
      <c r="G230" s="17">
        <f>IF(Raw_Data!G230="","",IF(VALUE(Raw_Data!G230)&lt;=0,"Invalid",VALUE(Raw_Data!G230)))</f>
        <v>67</v>
      </c>
      <c r="H230" s="17">
        <f>IF(Raw_Data!H230="","",IF(VALUE(Raw_Data!H230)&lt;=0,"Invalid",VALUE(Raw_Data!H230)))</f>
        <v>47</v>
      </c>
      <c r="I230" s="23">
        <f>IFERROR(VALUE(SUBSTITUTE(SUBSTITUTE(Raw_Data!I230,"₹",""),",","")),"")</f>
        <v>21730.76</v>
      </c>
      <c r="J230" s="17" t="str">
        <f>IF(TRIM(Raw_Data!J230)="","Not Specified",PROPER(TRIM(Raw_Data!J230)))</f>
        <v>Routine</v>
      </c>
      <c r="K230" s="17" t="str">
        <f>IF(TRIM(Raw_Data!K230)="","Not Specified",IFERROR(INDEX(Lookup_Tables!$E$6:$E$13,MATCH(TRIM(Raw_Data!K230),Lookup_Tables!$D$6:$D$13,0)),"Unknown - Review"))</f>
        <v>Approved</v>
      </c>
      <c r="L230" s="17" t="str">
        <f>IF(TRIM(Raw_Data!L230)="","",PROPER(TRIM(Raw_Data!L230)))</f>
        <v>Quartermaster</v>
      </c>
      <c r="M230" s="22">
        <f>IF(Raw_Data!M230="","",IF(ISNUMBER(Raw_Data!M230),Raw_Data!M230,IF(ISNUMBER(SEARCH("/",Raw_Data!M230)),IFERROR(DATE(VALUE(RIGHT(Raw_Data!M230,4)),VALUE(MID(Raw_Data!M230,4,2)),VALUE(LEFT(Raw_Data!M230,2))),"Invalid Date"),IFERROR(DATEVALUE(Raw_Data!M230),"Invalid Date"))))</f>
        <v>45773</v>
      </c>
      <c r="N230" s="22">
        <f>IF(Raw_Data!N230="","",IF(ISNUMBER(Raw_Data!N230),Raw_Data!N230,IF(ISNUMBER(SEARCH("/",Raw_Data!N230)),IFERROR(DATE(VALUE(RIGHT(Raw_Data!N230,4)),VALUE(MID(Raw_Data!N230,4,2)),VALUE(LEFT(Raw_Data!N230,2))),"Invalid Date"),IFERROR(DATEVALUE(Raw_Data!N230),"Invalid Date"))))</f>
        <v>45796</v>
      </c>
      <c r="O230" s="22" t="str">
        <f>IF(Raw_Data!O230="","",IF(ISNUMBER(Raw_Data!O230),Raw_Data!O230,IF(ISNUMBER(SEARCH("/",Raw_Data!O230)),IFERROR(DATE(VALUE(RIGHT(Raw_Data!O230,4)),VALUE(MID(Raw_Data!O230,4,2)),VALUE(LEFT(Raw_Data!O230,2))),"Invalid Date"),IFERROR(DATEVALUE(Raw_Data!O230),"Invalid Date"))))</f>
        <v/>
      </c>
      <c r="P230" s="17" t="str">
        <f>IF(OR(TRIM(Raw_Data!P230)="",TRIM(Raw_Data!P230)="N/A",TRIM(Raw_Data!P230)="TBD",TRIM(Raw_Data!P230)="-"),"Not Assigned",PROPER(TRIM(Raw_Data!P230)))</f>
        <v>Central Ordnance Suppliers</v>
      </c>
      <c r="Q230" s="24">
        <f t="shared" si="18"/>
        <v>1021345.72</v>
      </c>
      <c r="R230" s="17" t="str">
        <f t="shared" si="19"/>
        <v/>
      </c>
      <c r="S230" s="17" t="str">
        <f>IF(COUNTIF($A$2:A230,A230)&gt;1,"Duplicate","Unique")</f>
        <v>Unique</v>
      </c>
      <c r="T230" s="17" t="str">
        <f t="shared" si="20"/>
        <v>No</v>
      </c>
      <c r="U230" s="17" t="str">
        <f t="shared" si="21"/>
        <v>No</v>
      </c>
      <c r="V230" s="17" t="str">
        <f t="shared" si="22"/>
        <v>Yes</v>
      </c>
      <c r="W230" s="17" t="str">
        <f t="shared" si="23"/>
        <v>Apr-2025</v>
      </c>
    </row>
    <row r="231" spans="1:23" x14ac:dyDescent="0.3">
      <c r="A231" s="17" t="str">
        <f>TRIM(Raw_Data!A231)</f>
        <v>REQ-2025-0230</v>
      </c>
      <c r="B231" s="22">
        <f>IF(Raw_Data!B231="","",IF(ISNUMBER(Raw_Data!B231),Raw_Data!B231,IF(ISNUMBER(SEARCH("/",Raw_Data!B231)),IFERROR(DATE(VALUE(RIGHT(Raw_Data!B231,4)),VALUE(MID(Raw_Data!B231,4,2)),VALUE(LEFT(Raw_Data!B231,2))),"Invalid Date"),IFERROR(DATEVALUE(Raw_Data!B231),"Invalid Date"))))</f>
        <v>45742</v>
      </c>
      <c r="C231" s="17" t="str">
        <f>IF(TRIM(Raw_Data!C231)="","",PROPER(TRIM(Raw_Data!C231)))</f>
        <v>Unit A - Infantry</v>
      </c>
      <c r="D231" s="17" t="str">
        <f>IF(TRIM(Raw_Data!D231)="","Not Specified",IFERROR(INDEX(Lookup_Tables!$H$6:$H$12,MATCH(TRIM(Raw_Data!D231),Lookup_Tables!$G$6:$G$12,0)),"Unknown - Review"))</f>
        <v>Western</v>
      </c>
      <c r="E231" s="17" t="str">
        <f>IF(TRIM(Raw_Data!E231)="","Not Specified",IFERROR(INDEX(Lookup_Tables!$B$6:$B$18,MATCH(TRIM(Raw_Data!E231),Lookup_Tables!$A$6:$A$18,0)),"Unknown - Review"))</f>
        <v>Communication Equipment</v>
      </c>
      <c r="F231" s="17" t="str">
        <f>IF(TRIM(Raw_Data!F231)="","",TRIM(Raw_Data!F231))</f>
        <v>Field Radio Set</v>
      </c>
      <c r="G231" s="17">
        <f>IF(Raw_Data!G231="","",IF(VALUE(Raw_Data!G231)&lt;=0,"Invalid",VALUE(Raw_Data!G231)))</f>
        <v>334</v>
      </c>
      <c r="H231" s="17">
        <f>IF(Raw_Data!H231="","",IF(VALUE(Raw_Data!H231)&lt;=0,"Invalid",VALUE(Raw_Data!H231)))</f>
        <v>295</v>
      </c>
      <c r="I231" s="23">
        <f>IFERROR(VALUE(SUBSTITUTE(SUBSTITUTE(Raw_Data!I231,"₹",""),",","")),"")</f>
        <v>26022</v>
      </c>
      <c r="J231" s="17" t="str">
        <f>IF(TRIM(Raw_Data!J231)="","Not Specified",PROPER(TRIM(Raw_Data!J231)))</f>
        <v>Low</v>
      </c>
      <c r="K231" s="17" t="str">
        <f>IF(TRIM(Raw_Data!K231)="","Not Specified",IFERROR(INDEX(Lookup_Tables!$E$6:$E$13,MATCH(TRIM(Raw_Data!K231),Lookup_Tables!$D$6:$D$13,0)),"Unknown - Review"))</f>
        <v>Delivered</v>
      </c>
      <c r="L231" s="17" t="str">
        <f>IF(TRIM(Raw_Data!L231)="","",PROPER(TRIM(Raw_Data!L231)))</f>
        <v>Quartermaster</v>
      </c>
      <c r="M231" s="22">
        <f>IF(Raw_Data!M231="","",IF(ISNUMBER(Raw_Data!M231),Raw_Data!M231,IF(ISNUMBER(SEARCH("/",Raw_Data!M231)),IFERROR(DATE(VALUE(RIGHT(Raw_Data!M231,4)),VALUE(MID(Raw_Data!M231,4,2)),VALUE(LEFT(Raw_Data!M231,2))),"Invalid Date"),IFERROR(DATEVALUE(Raw_Data!M231),"Invalid Date"))))</f>
        <v>45743</v>
      </c>
      <c r="N231" s="22">
        <f>IF(Raw_Data!N231="","",IF(ISNUMBER(Raw_Data!N231),Raw_Data!N231,IF(ISNUMBER(SEARCH("/",Raw_Data!N231)),IFERROR(DATE(VALUE(RIGHT(Raw_Data!N231,4)),VALUE(MID(Raw_Data!N231,4,2)),VALUE(LEFT(Raw_Data!N231,2))),"Invalid Date"),IFERROR(DATEVALUE(Raw_Data!N231),"Invalid Date"))))</f>
        <v>45766</v>
      </c>
      <c r="O231" s="22">
        <f>IF(Raw_Data!O231="","",IF(ISNUMBER(Raw_Data!O231),Raw_Data!O231,IF(ISNUMBER(SEARCH("/",Raw_Data!O231)),IFERROR(DATE(VALUE(RIGHT(Raw_Data!O231,4)),VALUE(MID(Raw_Data!O231,4,2)),VALUE(LEFT(Raw_Data!O231,2))),"Invalid Date"),IFERROR(DATEVALUE(Raw_Data!O231),"Invalid Date"))))</f>
        <v>45777</v>
      </c>
      <c r="P231" s="17" t="str">
        <f>IF(OR(TRIM(Raw_Data!P231)="",TRIM(Raw_Data!P231)="N/A",TRIM(Raw_Data!P231)="TBD",TRIM(Raw_Data!P231)="-"),"Not Assigned",PROPER(TRIM(Raw_Data!P231)))</f>
        <v>Vikram Enterprises</v>
      </c>
      <c r="Q231" s="24">
        <f t="shared" si="18"/>
        <v>7676490</v>
      </c>
      <c r="R231" s="17">
        <f t="shared" si="19"/>
        <v>11</v>
      </c>
      <c r="S231" s="17" t="str">
        <f>IF(COUNTIF($A$2:A231,A231)&gt;1,"Duplicate","Unique")</f>
        <v>Unique</v>
      </c>
      <c r="T231" s="17" t="str">
        <f t="shared" si="20"/>
        <v>No</v>
      </c>
      <c r="U231" s="17" t="str">
        <f t="shared" si="21"/>
        <v>No</v>
      </c>
      <c r="V231" s="17" t="str">
        <f t="shared" si="22"/>
        <v>Yes</v>
      </c>
      <c r="W231" s="17" t="str">
        <f t="shared" si="23"/>
        <v>Mar-2025</v>
      </c>
    </row>
    <row r="232" spans="1:23" x14ac:dyDescent="0.3">
      <c r="A232" s="17" t="str">
        <f>TRIM(Raw_Data!A232)</f>
        <v>REQ-2025-0231</v>
      </c>
      <c r="B232" s="22" t="str">
        <f>IF(Raw_Data!B232="","",IF(ISNUMBER(Raw_Data!B232),Raw_Data!B232,IF(ISNUMBER(SEARCH("/",Raw_Data!B232)),IFERROR(DATE(VALUE(RIGHT(Raw_Data!B232,4)),VALUE(MID(Raw_Data!B232,4,2)),VALUE(LEFT(Raw_Data!B232,2))),"Invalid Date"),IFERROR(DATEVALUE(Raw_Data!B232),"Invalid Date"))))</f>
        <v/>
      </c>
      <c r="C232" s="17" t="str">
        <f>IF(TRIM(Raw_Data!C232)="","",PROPER(TRIM(Raw_Data!C232)))</f>
        <v>Unit C - Engineers</v>
      </c>
      <c r="D232" s="17" t="str">
        <f>IF(TRIM(Raw_Data!D232)="","Not Specified",IFERROR(INDEX(Lookup_Tables!$H$6:$H$12,MATCH(TRIM(Raw_Data!D232),Lookup_Tables!$G$6:$G$12,0)),"Unknown - Review"))</f>
        <v>Eastern</v>
      </c>
      <c r="E232" s="17" t="str">
        <f>IF(TRIM(Raw_Data!E232)="","Not Specified",IFERROR(INDEX(Lookup_Tables!$B$6:$B$18,MATCH(TRIM(Raw_Data!E232),Lookup_Tables!$A$6:$A$18,0)),"Unknown - Review"))</f>
        <v>Tents &amp; Shelter</v>
      </c>
      <c r="F232" s="17" t="str">
        <f>IF(TRIM(Raw_Data!F232)="","",TRIM(Raw_Data!F232))</f>
        <v>Camouflage Net</v>
      </c>
      <c r="G232" s="17">
        <f>IF(Raw_Data!G232="","",IF(VALUE(Raw_Data!G232)&lt;=0,"Invalid",VALUE(Raw_Data!G232)))</f>
        <v>282</v>
      </c>
      <c r="H232" s="17">
        <f>IF(Raw_Data!H232="","",IF(VALUE(Raw_Data!H232)&lt;=0,"Invalid",VALUE(Raw_Data!H232)))</f>
        <v>219</v>
      </c>
      <c r="I232" s="23">
        <f>IFERROR(VALUE(SUBSTITUTE(SUBSTITUTE(Raw_Data!I232,"₹",""),",","")),"")</f>
        <v>4170</v>
      </c>
      <c r="J232" s="17" t="str">
        <f>IF(TRIM(Raw_Data!J232)="","Not Specified",PROPER(TRIM(Raw_Data!J232)))</f>
        <v>High</v>
      </c>
      <c r="K232" s="17" t="str">
        <f>IF(TRIM(Raw_Data!K232)="","Not Specified",IFERROR(INDEX(Lookup_Tables!$E$6:$E$13,MATCH(TRIM(Raw_Data!K232),Lookup_Tables!$D$6:$D$13,0)),"Unknown - Review"))</f>
        <v>Approved</v>
      </c>
      <c r="L232" s="17" t="str">
        <f>IF(TRIM(Raw_Data!L232)="","",PROPER(TRIM(Raw_Data!L232)))</f>
        <v>Quartermaster</v>
      </c>
      <c r="M232" s="22">
        <f>IF(Raw_Data!M232="","",IF(ISNUMBER(Raw_Data!M232),Raw_Data!M232,IF(ISNUMBER(SEARCH("/",Raw_Data!M232)),IFERROR(DATE(VALUE(RIGHT(Raw_Data!M232,4)),VALUE(MID(Raw_Data!M232,4,2)),VALUE(LEFT(Raw_Data!M232,2))),"Invalid Date"),IFERROR(DATEVALUE(Raw_Data!M232),"Invalid Date"))))</f>
        <v>45858</v>
      </c>
      <c r="N232" s="22">
        <f>IF(Raw_Data!N232="","",IF(ISNUMBER(Raw_Data!N232),Raw_Data!N232,IF(ISNUMBER(SEARCH("/",Raw_Data!N232)),IFERROR(DATE(VALUE(RIGHT(Raw_Data!N232,4)),VALUE(MID(Raw_Data!N232,4,2)),VALUE(LEFT(Raw_Data!N232,2))),"Invalid Date"),IFERROR(DATEVALUE(Raw_Data!N232),"Invalid Date"))))</f>
        <v>45876</v>
      </c>
      <c r="O232" s="22" t="str">
        <f>IF(Raw_Data!O232="","",IF(ISNUMBER(Raw_Data!O232),Raw_Data!O232,IF(ISNUMBER(SEARCH("/",Raw_Data!O232)),IFERROR(DATE(VALUE(RIGHT(Raw_Data!O232,4)),VALUE(MID(Raw_Data!O232,4,2)),VALUE(LEFT(Raw_Data!O232,2))),"Invalid Date"),IFERROR(DATEVALUE(Raw_Data!O232),"Invalid Date"))))</f>
        <v/>
      </c>
      <c r="P232" s="17" t="str">
        <f>IF(OR(TRIM(Raw_Data!P232)="",TRIM(Raw_Data!P232)="N/A",TRIM(Raw_Data!P232)="TBD",TRIM(Raw_Data!P232)="-"),"Not Assigned",PROPER(TRIM(Raw_Data!P232)))</f>
        <v>National Defence Stores</v>
      </c>
      <c r="Q232" s="24">
        <f t="shared" si="18"/>
        <v>913230</v>
      </c>
      <c r="R232" s="17" t="str">
        <f t="shared" si="19"/>
        <v/>
      </c>
      <c r="S232" s="17" t="str">
        <f>IF(COUNTIF($A$2:A232,A232)&gt;1,"Duplicate","Unique")</f>
        <v>Unique</v>
      </c>
      <c r="T232" s="17" t="str">
        <f t="shared" si="20"/>
        <v>No</v>
      </c>
      <c r="U232" s="17" t="str">
        <f t="shared" si="21"/>
        <v>No</v>
      </c>
      <c r="V232" s="17" t="str">
        <f t="shared" si="22"/>
        <v>Yes</v>
      </c>
      <c r="W232" s="17" t="str">
        <f t="shared" si="23"/>
        <v/>
      </c>
    </row>
    <row r="233" spans="1:23" x14ac:dyDescent="0.3">
      <c r="A233" s="17" t="str">
        <f>TRIM(Raw_Data!A233)</f>
        <v>REQ-2025-0232</v>
      </c>
      <c r="B233" s="22">
        <f>IF(Raw_Data!B233="","",IF(ISNUMBER(Raw_Data!B233),Raw_Data!B233,IF(ISNUMBER(SEARCH("/",Raw_Data!B233)),IFERROR(DATE(VALUE(RIGHT(Raw_Data!B233,4)),VALUE(MID(Raw_Data!B233,4,2)),VALUE(LEFT(Raw_Data!B233,2))),"Invalid Date"),IFERROR(DATEVALUE(Raw_Data!B233),"Invalid Date"))))</f>
        <v>45941</v>
      </c>
      <c r="C233" s="17" t="str">
        <f>IF(TRIM(Raw_Data!C233)="","",PROPER(TRIM(Raw_Data!C233)))</f>
        <v>Unit B - Artillery</v>
      </c>
      <c r="D233" s="17" t="str">
        <f>IF(TRIM(Raw_Data!D233)="","Not Specified",IFERROR(INDEX(Lookup_Tables!$H$6:$H$12,MATCH(TRIM(Raw_Data!D233),Lookup_Tables!$G$6:$G$12,0)),"Unknown - Review"))</f>
        <v>Southern</v>
      </c>
      <c r="E233" s="17" t="str">
        <f>IF(TRIM(Raw_Data!E233)="","Not Specified",IFERROR(INDEX(Lookup_Tables!$B$6:$B$18,MATCH(TRIM(Raw_Data!E233),Lookup_Tables!$A$6:$A$18,0)),"Unknown - Review"))</f>
        <v>Fuel &amp; Lubricants</v>
      </c>
      <c r="F233" s="17" t="str">
        <f>IF(TRIM(Raw_Data!F233)="","",TRIM(Raw_Data!F233))</f>
        <v>Hydraulic Fluid (20L)</v>
      </c>
      <c r="G233" s="17">
        <f>IF(Raw_Data!G233="","",IF(VALUE(Raw_Data!G233)&lt;=0,"Invalid",VALUE(Raw_Data!G233)))</f>
        <v>213</v>
      </c>
      <c r="H233" s="17">
        <f>IF(Raw_Data!H233="","",IF(VALUE(Raw_Data!H233)&lt;=0,"Invalid",VALUE(Raw_Data!H233)))</f>
        <v>213</v>
      </c>
      <c r="I233" s="23">
        <f>IFERROR(VALUE(SUBSTITUTE(SUBSTITUTE(Raw_Data!I233,"₹",""),",","")),"")</f>
        <v>985.23</v>
      </c>
      <c r="J233" s="17" t="str">
        <f>IF(TRIM(Raw_Data!J233)="","Not Specified",PROPER(TRIM(Raw_Data!J233)))</f>
        <v>Routine</v>
      </c>
      <c r="K233" s="17" t="str">
        <f>IF(TRIM(Raw_Data!K233)="","Not Specified",IFERROR(INDEX(Lookup_Tables!$E$6:$E$13,MATCH(TRIM(Raw_Data!K233),Lookup_Tables!$D$6:$D$13,0)),"Unknown - Review"))</f>
        <v>Rejected</v>
      </c>
      <c r="L233" s="17" t="str">
        <f>IF(TRIM(Raw_Data!L233)="","",PROPER(TRIM(Raw_Data!L233)))</f>
        <v>Quartermaster</v>
      </c>
      <c r="M233" s="22" t="str">
        <f>IF(Raw_Data!M233="","",IF(ISNUMBER(Raw_Data!M233),Raw_Data!M233,IF(ISNUMBER(SEARCH("/",Raw_Data!M233)),IFERROR(DATE(VALUE(RIGHT(Raw_Data!M233,4)),VALUE(MID(Raw_Data!M233,4,2)),VALUE(LEFT(Raw_Data!M233,2))),"Invalid Date"),IFERROR(DATEVALUE(Raw_Data!M233),"Invalid Date"))))</f>
        <v/>
      </c>
      <c r="N233" s="22" t="str">
        <f>IF(Raw_Data!N233="","",IF(ISNUMBER(Raw_Data!N233),Raw_Data!N233,IF(ISNUMBER(SEARCH("/",Raw_Data!N233)),IFERROR(DATE(VALUE(RIGHT(Raw_Data!N233,4)),VALUE(MID(Raw_Data!N233,4,2)),VALUE(LEFT(Raw_Data!N233,2))),"Invalid Date"),IFERROR(DATEVALUE(Raw_Data!N233),"Invalid Date"))))</f>
        <v/>
      </c>
      <c r="O233" s="22" t="str">
        <f>IF(Raw_Data!O233="","",IF(ISNUMBER(Raw_Data!O233),Raw_Data!O233,IF(ISNUMBER(SEARCH("/",Raw_Data!O233)),IFERROR(DATE(VALUE(RIGHT(Raw_Data!O233,4)),VALUE(MID(Raw_Data!O233,4,2)),VALUE(LEFT(Raw_Data!O233,2))),"Invalid Date"),IFERROR(DATEVALUE(Raw_Data!O233),"Invalid Date"))))</f>
        <v/>
      </c>
      <c r="P233" s="17" t="str">
        <f>IF(OR(TRIM(Raw_Data!P233)="",TRIM(Raw_Data!P233)="N/A",TRIM(Raw_Data!P233)="TBD",TRIM(Raw_Data!P233)="-"),"Not Assigned",PROPER(TRIM(Raw_Data!P233)))</f>
        <v>Sena Supply Co</v>
      </c>
      <c r="Q233" s="24">
        <f t="shared" si="18"/>
        <v>209853.99</v>
      </c>
      <c r="R233" s="17" t="str">
        <f t="shared" si="19"/>
        <v/>
      </c>
      <c r="S233" s="17" t="str">
        <f>IF(COUNTIF($A$2:A233,A233)&gt;1,"Duplicate","Unique")</f>
        <v>Unique</v>
      </c>
      <c r="T233" s="17" t="str">
        <f t="shared" si="20"/>
        <v>No</v>
      </c>
      <c r="U233" s="17" t="str">
        <f t="shared" si="21"/>
        <v>Yes</v>
      </c>
      <c r="V233" s="17" t="str">
        <f t="shared" si="22"/>
        <v>No</v>
      </c>
      <c r="W233" s="17" t="str">
        <f t="shared" si="23"/>
        <v>Oct-2025</v>
      </c>
    </row>
    <row r="234" spans="1:23" x14ac:dyDescent="0.3">
      <c r="A234" s="17" t="str">
        <f>TRIM(Raw_Data!A234)</f>
        <v>REQ-2025-0233</v>
      </c>
      <c r="B234" s="22">
        <f>IF(Raw_Data!B234="","",IF(ISNUMBER(Raw_Data!B234),Raw_Data!B234,IF(ISNUMBER(SEARCH("/",Raw_Data!B234)),IFERROR(DATE(VALUE(RIGHT(Raw_Data!B234,4)),VALUE(MID(Raw_Data!B234,4,2)),VALUE(LEFT(Raw_Data!B234,2))),"Invalid Date"),IFERROR(DATEVALUE(Raw_Data!B234),"Invalid Date"))))</f>
        <v>45806</v>
      </c>
      <c r="C234" s="17" t="str">
        <f>IF(TRIM(Raw_Data!C234)="","",PROPER(TRIM(Raw_Data!C234)))</f>
        <v>Unit H - Air Defence</v>
      </c>
      <c r="D234" s="17" t="str">
        <f>IF(TRIM(Raw_Data!D234)="","Not Specified",IFERROR(INDEX(Lookup_Tables!$H$6:$H$12,MATCH(TRIM(Raw_Data!D234),Lookup_Tables!$G$6:$G$12,0)),"Unknown - Review"))</f>
        <v>Eastern</v>
      </c>
      <c r="E234" s="17" t="str">
        <f>IF(TRIM(Raw_Data!E234)="","Not Specified",IFERROR(INDEX(Lookup_Tables!$B$6:$B$18,MATCH(TRIM(Raw_Data!E234),Lookup_Tables!$A$6:$A$18,0)),"Unknown - Review"))</f>
        <v>Office &amp; IT Equipment</v>
      </c>
      <c r="F234" s="17" t="str">
        <f>IF(TRIM(Raw_Data!F234)="","",TRIM(Raw_Data!F234))</f>
        <v>UPS Backup Unit</v>
      </c>
      <c r="G234" s="17">
        <f>IF(Raw_Data!G234="","",IF(VALUE(Raw_Data!G234)&lt;=0,"Invalid",VALUE(Raw_Data!G234)))</f>
        <v>35</v>
      </c>
      <c r="H234" s="17">
        <f>IF(Raw_Data!H234="","",IF(VALUE(Raw_Data!H234)&lt;=0,"Invalid",VALUE(Raw_Data!H234)))</f>
        <v>30</v>
      </c>
      <c r="I234" s="23">
        <f>IFERROR(VALUE(SUBSTITUTE(SUBSTITUTE(Raw_Data!I234,"₹",""),",","")),"")</f>
        <v>37801.019999999997</v>
      </c>
      <c r="J234" s="17" t="str">
        <f>IF(TRIM(Raw_Data!J234)="","Not Specified",PROPER(TRIM(Raw_Data!J234)))</f>
        <v>Medium</v>
      </c>
      <c r="K234" s="17" t="str">
        <f>IF(TRIM(Raw_Data!K234)="","Not Specified",IFERROR(INDEX(Lookup_Tables!$E$6:$E$13,MATCH(TRIM(Raw_Data!K234),Lookup_Tables!$D$6:$D$13,0)),"Unknown - Review"))</f>
        <v>Delivered</v>
      </c>
      <c r="L234" s="17" t="str">
        <f>IF(TRIM(Raw_Data!L234)="","",PROPER(TRIM(Raw_Data!L234)))</f>
        <v>Quartermaster</v>
      </c>
      <c r="M234" s="22">
        <f>IF(Raw_Data!M234="","",IF(ISNUMBER(Raw_Data!M234),Raw_Data!M234,IF(ISNUMBER(SEARCH("/",Raw_Data!M234)),IFERROR(DATE(VALUE(RIGHT(Raw_Data!M234,4)),VALUE(MID(Raw_Data!M234,4,2)),VALUE(LEFT(Raw_Data!M234,2))),"Invalid Date"),IFERROR(DATEVALUE(Raw_Data!M234),"Invalid Date"))))</f>
        <v>45813</v>
      </c>
      <c r="N234" s="22">
        <f>IF(Raw_Data!N234="","",IF(ISNUMBER(Raw_Data!N234),Raw_Data!N234,IF(ISNUMBER(SEARCH("/",Raw_Data!N234)),IFERROR(DATE(VALUE(RIGHT(Raw_Data!N234,4)),VALUE(MID(Raw_Data!N234,4,2)),VALUE(LEFT(Raw_Data!N234,2))),"Invalid Date"),IFERROR(DATEVALUE(Raw_Data!N234),"Invalid Date"))))</f>
        <v>45829</v>
      </c>
      <c r="O234" s="22">
        <f>IF(Raw_Data!O234="","",IF(ISNUMBER(Raw_Data!O234),Raw_Data!O234,IF(ISNUMBER(SEARCH("/",Raw_Data!O234)),IFERROR(DATE(VALUE(RIGHT(Raw_Data!O234,4)),VALUE(MID(Raw_Data!O234,4,2)),VALUE(LEFT(Raw_Data!O234,2))),"Invalid Date"),IFERROR(DATEVALUE(Raw_Data!O234),"Invalid Date"))))</f>
        <v>45844</v>
      </c>
      <c r="P234" s="17" t="str">
        <f>IF(OR(TRIM(Raw_Data!P234)="",TRIM(Raw_Data!P234)="N/A",TRIM(Raw_Data!P234)="TBD",TRIM(Raw_Data!P234)="-"),"Not Assigned",PROPER(TRIM(Raw_Data!P234)))</f>
        <v>Vikram Enterprises</v>
      </c>
      <c r="Q234" s="24">
        <f t="shared" si="18"/>
        <v>1134030.5999999999</v>
      </c>
      <c r="R234" s="17">
        <f t="shared" si="19"/>
        <v>15</v>
      </c>
      <c r="S234" s="17" t="str">
        <f>IF(COUNTIF($A$2:A234,A234)&gt;1,"Duplicate","Unique")</f>
        <v>Unique</v>
      </c>
      <c r="T234" s="17" t="str">
        <f t="shared" si="20"/>
        <v>No</v>
      </c>
      <c r="U234" s="17" t="str">
        <f t="shared" si="21"/>
        <v>No</v>
      </c>
      <c r="V234" s="17" t="str">
        <f t="shared" si="22"/>
        <v>Yes</v>
      </c>
      <c r="W234" s="17" t="str">
        <f t="shared" si="23"/>
        <v>May-2025</v>
      </c>
    </row>
    <row r="235" spans="1:23" x14ac:dyDescent="0.3">
      <c r="A235" s="17" t="str">
        <f>TRIM(Raw_Data!A235)</f>
        <v>REQ-2025-0234</v>
      </c>
      <c r="B235" s="22">
        <f>IF(Raw_Data!B235="","",IF(ISNUMBER(Raw_Data!B235),Raw_Data!B235,IF(ISNUMBER(SEARCH("/",Raw_Data!B235)),IFERROR(DATE(VALUE(RIGHT(Raw_Data!B235,4)),VALUE(MID(Raw_Data!B235,4,2)),VALUE(LEFT(Raw_Data!B235,2))),"Invalid Date"),IFERROR(DATEVALUE(Raw_Data!B235),"Invalid Date"))))</f>
        <v>45765</v>
      </c>
      <c r="C235" s="17" t="str">
        <f>IF(TRIM(Raw_Data!C235)="","",PROPER(TRIM(Raw_Data!C235)))</f>
        <v>Unit H - Air Defence</v>
      </c>
      <c r="D235" s="17" t="str">
        <f>IF(TRIM(Raw_Data!D235)="","Not Specified",IFERROR(INDEX(Lookup_Tables!$H$6:$H$12,MATCH(TRIM(Raw_Data!D235),Lookup_Tables!$G$6:$G$12,0)),"Unknown - Review"))</f>
        <v>Eastern</v>
      </c>
      <c r="E235" s="17" t="str">
        <f>IF(TRIM(Raw_Data!E235)="","Not Specified",IFERROR(INDEX(Lookup_Tables!$B$6:$B$18,MATCH(TRIM(Raw_Data!E235),Lookup_Tables!$A$6:$A$18,0)),"Unknown - Review"))</f>
        <v>Fuel &amp; Lubricants</v>
      </c>
      <c r="F235" s="17" t="str">
        <f>IF(TRIM(Raw_Data!F235)="","",TRIM(Raw_Data!F235))</f>
        <v>Engine Grease (5kg)</v>
      </c>
      <c r="G235" s="17">
        <f>IF(Raw_Data!G235="","",IF(VALUE(Raw_Data!G235)&lt;=0,"Invalid",VALUE(Raw_Data!G235)))</f>
        <v>472</v>
      </c>
      <c r="H235" s="17">
        <f>IF(Raw_Data!H235="","",IF(VALUE(Raw_Data!H235)&lt;=0,"Invalid",VALUE(Raw_Data!H235)))</f>
        <v>330</v>
      </c>
      <c r="I235" s="23">
        <f>IFERROR(VALUE(SUBSTITUTE(SUBSTITUTE(Raw_Data!I235,"₹",""),",","")),"")</f>
        <v>21522.32</v>
      </c>
      <c r="J235" s="17" t="str">
        <f>IF(TRIM(Raw_Data!J235)="","Not Specified",PROPER(TRIM(Raw_Data!J235)))</f>
        <v>Low</v>
      </c>
      <c r="K235" s="17" t="str">
        <f>IF(TRIM(Raw_Data!K235)="","Not Specified",IFERROR(INDEX(Lookup_Tables!$E$6:$E$13,MATCH(TRIM(Raw_Data!K235),Lookup_Tables!$D$6:$D$13,0)),"Unknown - Review"))</f>
        <v>Dispatched</v>
      </c>
      <c r="L235" s="17" t="str">
        <f>IF(TRIM(Raw_Data!L235)="","",PROPER(TRIM(Raw_Data!L235)))</f>
        <v>Quartermaster</v>
      </c>
      <c r="M235" s="22">
        <f>IF(Raw_Data!M235="","",IF(ISNUMBER(Raw_Data!M235),Raw_Data!M235,IF(ISNUMBER(SEARCH("/",Raw_Data!M235)),IFERROR(DATE(VALUE(RIGHT(Raw_Data!M235,4)),VALUE(MID(Raw_Data!M235,4,2)),VALUE(LEFT(Raw_Data!M235,2))),"Invalid Date"),IFERROR(DATEVALUE(Raw_Data!M235),"Invalid Date"))))</f>
        <v>45766</v>
      </c>
      <c r="N235" s="22">
        <f>IF(Raw_Data!N235="","",IF(ISNUMBER(Raw_Data!N235),Raw_Data!N235,IF(ISNUMBER(SEARCH("/",Raw_Data!N235)),IFERROR(DATE(VALUE(RIGHT(Raw_Data!N235,4)),VALUE(MID(Raw_Data!N235,4,2)),VALUE(LEFT(Raw_Data!N235,2))),"Invalid Date"),IFERROR(DATEVALUE(Raw_Data!N235),"Invalid Date"))))</f>
        <v>45792</v>
      </c>
      <c r="O235" s="22" t="str">
        <f>IF(Raw_Data!O235="","",IF(ISNUMBER(Raw_Data!O235),Raw_Data!O235,IF(ISNUMBER(SEARCH("/",Raw_Data!O235)),IFERROR(DATE(VALUE(RIGHT(Raw_Data!O235,4)),VALUE(MID(Raw_Data!O235,4,2)),VALUE(LEFT(Raw_Data!O235,2))),"Invalid Date"),IFERROR(DATEVALUE(Raw_Data!O235),"Invalid Date"))))</f>
        <v/>
      </c>
      <c r="P235" s="17" t="str">
        <f>IF(OR(TRIM(Raw_Data!P235)="",TRIM(Raw_Data!P235)="N/A",TRIM(Raw_Data!P235)="TBD",TRIM(Raw_Data!P235)="-"),"Not Assigned",PROPER(TRIM(Raw_Data!P235)))</f>
        <v>National Defence Stores</v>
      </c>
      <c r="Q235" s="24">
        <f t="shared" si="18"/>
        <v>7102365.5999999996</v>
      </c>
      <c r="R235" s="17" t="str">
        <f t="shared" si="19"/>
        <v/>
      </c>
      <c r="S235" s="17" t="str">
        <f>IF(COUNTIF($A$2:A235,A235)&gt;1,"Duplicate","Unique")</f>
        <v>Unique</v>
      </c>
      <c r="T235" s="17" t="str">
        <f t="shared" si="20"/>
        <v>No</v>
      </c>
      <c r="U235" s="17" t="str">
        <f t="shared" si="21"/>
        <v>No</v>
      </c>
      <c r="V235" s="17" t="str">
        <f t="shared" si="22"/>
        <v>Yes</v>
      </c>
      <c r="W235" s="17" t="str">
        <f t="shared" si="23"/>
        <v>Apr-2025</v>
      </c>
    </row>
    <row r="236" spans="1:23" x14ac:dyDescent="0.3">
      <c r="A236" s="17" t="str">
        <f>TRIM(Raw_Data!A236)</f>
        <v>REQ-2025-0235</v>
      </c>
      <c r="B236" s="22">
        <f>IF(Raw_Data!B236="","",IF(ISNUMBER(Raw_Data!B236),Raw_Data!B236,IF(ISNUMBER(SEARCH("/",Raw_Data!B236)),IFERROR(DATE(VALUE(RIGHT(Raw_Data!B236,4)),VALUE(MID(Raw_Data!B236,4,2)),VALUE(LEFT(Raw_Data!B236,2))),"Invalid Date"),IFERROR(DATEVALUE(Raw_Data!B236),"Invalid Date"))))</f>
        <v>45885</v>
      </c>
      <c r="C236" s="17" t="str">
        <f>IF(TRIM(Raw_Data!C236)="","",PROPER(TRIM(Raw_Data!C236)))</f>
        <v>Unit A - Infantry</v>
      </c>
      <c r="D236" s="17" t="str">
        <f>IF(TRIM(Raw_Data!D236)="","Not Specified",IFERROR(INDEX(Lookup_Tables!$H$6:$H$12,MATCH(TRIM(Raw_Data!D236),Lookup_Tables!$G$6:$G$12,0)),"Unknown - Review"))</f>
        <v>Northern</v>
      </c>
      <c r="E236" s="17" t="str">
        <f>IF(TRIM(Raw_Data!E236)="","Not Specified",IFERROR(INDEX(Lookup_Tables!$B$6:$B$18,MATCH(TRIM(Raw_Data!E236),Lookup_Tables!$A$6:$A$18,0)),"Unknown - Review"))</f>
        <v>Fuel &amp; Lubricants</v>
      </c>
      <c r="F236" s="17" t="str">
        <f>IF(TRIM(Raw_Data!F236)="","",TRIM(Raw_Data!F236))</f>
        <v>Petrol (Drum 200L)</v>
      </c>
      <c r="G236" s="17">
        <f>IF(Raw_Data!G236="","",IF(VALUE(Raw_Data!G236)&lt;=0,"Invalid",VALUE(Raw_Data!G236)))</f>
        <v>353</v>
      </c>
      <c r="H236" s="17" t="str">
        <f>IF(Raw_Data!H236="","",IF(VALUE(Raw_Data!H236)&lt;=0,"Invalid",VALUE(Raw_Data!H236)))</f>
        <v/>
      </c>
      <c r="I236" s="23">
        <f>IFERROR(VALUE(SUBSTITUTE(SUBSTITUTE(Raw_Data!I236,"₹",""),",","")),"")</f>
        <v>16198.27</v>
      </c>
      <c r="J236" s="17" t="str">
        <f>IF(TRIM(Raw_Data!J236)="","Not Specified",PROPER(TRIM(Raw_Data!J236)))</f>
        <v>High</v>
      </c>
      <c r="K236" s="17" t="str">
        <f>IF(TRIM(Raw_Data!K236)="","Not Specified",IFERROR(INDEX(Lookup_Tables!$E$6:$E$13,MATCH(TRIM(Raw_Data!K236),Lookup_Tables!$D$6:$D$13,0)),"Unknown - Review"))</f>
        <v>Pending</v>
      </c>
      <c r="L236" s="17" t="str">
        <f>IF(TRIM(Raw_Data!L236)="","",PROPER(TRIM(Raw_Data!L236)))</f>
        <v>Stores Officer</v>
      </c>
      <c r="M236" s="22" t="str">
        <f>IF(Raw_Data!M236="","",IF(ISNUMBER(Raw_Data!M236),Raw_Data!M236,IF(ISNUMBER(SEARCH("/",Raw_Data!M236)),IFERROR(DATE(VALUE(RIGHT(Raw_Data!M236,4)),VALUE(MID(Raw_Data!M236,4,2)),VALUE(LEFT(Raw_Data!M236,2))),"Invalid Date"),IFERROR(DATEVALUE(Raw_Data!M236),"Invalid Date"))))</f>
        <v/>
      </c>
      <c r="N236" s="22" t="str">
        <f>IF(Raw_Data!N236="","",IF(ISNUMBER(Raw_Data!N236),Raw_Data!N236,IF(ISNUMBER(SEARCH("/",Raw_Data!N236)),IFERROR(DATE(VALUE(RIGHT(Raw_Data!N236,4)),VALUE(MID(Raw_Data!N236,4,2)),VALUE(LEFT(Raw_Data!N236,2))),"Invalid Date"),IFERROR(DATEVALUE(Raw_Data!N236),"Invalid Date"))))</f>
        <v/>
      </c>
      <c r="O236" s="22" t="str">
        <f>IF(Raw_Data!O236="","",IF(ISNUMBER(Raw_Data!O236),Raw_Data!O236,IF(ISNUMBER(SEARCH("/",Raw_Data!O236)),IFERROR(DATE(VALUE(RIGHT(Raw_Data!O236,4)),VALUE(MID(Raw_Data!O236,4,2)),VALUE(LEFT(Raw_Data!O236,2))),"Invalid Date"),IFERROR(DATEVALUE(Raw_Data!O236),"Invalid Date"))))</f>
        <v/>
      </c>
      <c r="P236" s="17" t="str">
        <f>IF(OR(TRIM(Raw_Data!P236)="",TRIM(Raw_Data!P236)="N/A",TRIM(Raw_Data!P236)="TBD",TRIM(Raw_Data!P236)="-"),"Not Assigned",PROPER(TRIM(Raw_Data!P236)))</f>
        <v>Shakti Traders</v>
      </c>
      <c r="Q236" s="24" t="str">
        <f t="shared" si="18"/>
        <v/>
      </c>
      <c r="R236" s="17" t="str">
        <f t="shared" si="19"/>
        <v/>
      </c>
      <c r="S236" s="17" t="str">
        <f>IF(COUNTIF($A$2:A236,A236)&gt;1,"Duplicate","Unique")</f>
        <v>Unique</v>
      </c>
      <c r="T236" s="17" t="str">
        <f t="shared" si="20"/>
        <v>No</v>
      </c>
      <c r="U236" s="17" t="str">
        <f t="shared" si="21"/>
        <v>No</v>
      </c>
      <c r="V236" s="17" t="str">
        <f t="shared" si="22"/>
        <v>Yes</v>
      </c>
      <c r="W236" s="17" t="str">
        <f t="shared" si="23"/>
        <v>Aug-2025</v>
      </c>
    </row>
    <row r="237" spans="1:23" x14ac:dyDescent="0.3">
      <c r="A237" s="17" t="str">
        <f>TRIM(Raw_Data!A237)</f>
        <v>REQ-2025-0236</v>
      </c>
      <c r="B237" s="22">
        <f>IF(Raw_Data!B237="","",IF(ISNUMBER(Raw_Data!B237),Raw_Data!B237,IF(ISNUMBER(SEARCH("/",Raw_Data!B237)),IFERROR(DATE(VALUE(RIGHT(Raw_Data!B237,4)),VALUE(MID(Raw_Data!B237,4,2)),VALUE(LEFT(Raw_Data!B237,2))),"Invalid Date"),IFERROR(DATEVALUE(Raw_Data!B237),"Invalid Date"))))</f>
        <v>45959</v>
      </c>
      <c r="C237" s="17" t="str">
        <f>IF(TRIM(Raw_Data!C237)="","",PROPER(TRIM(Raw_Data!C237)))</f>
        <v>Unit D - Signals</v>
      </c>
      <c r="D237" s="17" t="str">
        <f>IF(TRIM(Raw_Data!D237)="","Not Specified",IFERROR(INDEX(Lookup_Tables!$H$6:$H$12,MATCH(TRIM(Raw_Data!D237),Lookup_Tables!$G$6:$G$12,0)),"Unknown - Review"))</f>
        <v>Western</v>
      </c>
      <c r="E237" s="17" t="str">
        <f>IF(TRIM(Raw_Data!E237)="","Not Specified",IFERROR(INDEX(Lookup_Tables!$B$6:$B$18,MATCH(TRIM(Raw_Data!E237),Lookup_Tables!$A$6:$A$18,0)),"Unknown - Review"))</f>
        <v>Uniforms &amp; Clothing</v>
      </c>
      <c r="F237" s="17" t="str">
        <f>IF(TRIM(Raw_Data!F237)="","",TRIM(Raw_Data!F237))</f>
        <v>Combat Uniform Set</v>
      </c>
      <c r="G237" s="17">
        <f>IF(Raw_Data!G237="","",IF(VALUE(Raw_Data!G237)&lt;=0,"Invalid",VALUE(Raw_Data!G237)))</f>
        <v>137</v>
      </c>
      <c r="H237" s="17" t="str">
        <f>IF(Raw_Data!H237="","",IF(VALUE(Raw_Data!H237)&lt;=0,"Invalid",VALUE(Raw_Data!H237)))</f>
        <v/>
      </c>
      <c r="I237" s="23">
        <f>IFERROR(VALUE(SUBSTITUTE(SUBSTITUTE(Raw_Data!I237,"₹",""),",","")),"")</f>
        <v>38518.230000000003</v>
      </c>
      <c r="J237" s="17" t="str">
        <f>IF(TRIM(Raw_Data!J237)="","Not Specified",PROPER(TRIM(Raw_Data!J237)))</f>
        <v>High</v>
      </c>
      <c r="K237" s="17" t="str">
        <f>IF(TRIM(Raw_Data!K237)="","Not Specified",IFERROR(INDEX(Lookup_Tables!$E$6:$E$13,MATCH(TRIM(Raw_Data!K237),Lookup_Tables!$D$6:$D$13,0)),"Unknown - Review"))</f>
        <v>Not Specified</v>
      </c>
      <c r="L237" s="17" t="str">
        <f>IF(TRIM(Raw_Data!L237)="","",PROPER(TRIM(Raw_Data!L237)))</f>
        <v>Logistics Officer</v>
      </c>
      <c r="M237" s="22" t="str">
        <f>IF(Raw_Data!M237="","",IF(ISNUMBER(Raw_Data!M237),Raw_Data!M237,IF(ISNUMBER(SEARCH("/",Raw_Data!M237)),IFERROR(DATE(VALUE(RIGHT(Raw_Data!M237,4)),VALUE(MID(Raw_Data!M237,4,2)),VALUE(LEFT(Raw_Data!M237,2))),"Invalid Date"),IFERROR(DATEVALUE(Raw_Data!M237),"Invalid Date"))))</f>
        <v/>
      </c>
      <c r="N237" s="22" t="str">
        <f>IF(Raw_Data!N237="","",IF(ISNUMBER(Raw_Data!N237),Raw_Data!N237,IF(ISNUMBER(SEARCH("/",Raw_Data!N237)),IFERROR(DATE(VALUE(RIGHT(Raw_Data!N237,4)),VALUE(MID(Raw_Data!N237,4,2)),VALUE(LEFT(Raw_Data!N237,2))),"Invalid Date"),IFERROR(DATEVALUE(Raw_Data!N237),"Invalid Date"))))</f>
        <v/>
      </c>
      <c r="O237" s="22" t="str">
        <f>IF(Raw_Data!O237="","",IF(ISNUMBER(Raw_Data!O237),Raw_Data!O237,IF(ISNUMBER(SEARCH("/",Raw_Data!O237)),IFERROR(DATE(VALUE(RIGHT(Raw_Data!O237,4)),VALUE(MID(Raw_Data!O237,4,2)),VALUE(LEFT(Raw_Data!O237,2))),"Invalid Date"),IFERROR(DATEVALUE(Raw_Data!O237),"Invalid Date"))))</f>
        <v/>
      </c>
      <c r="P237" s="17" t="str">
        <f>IF(OR(TRIM(Raw_Data!P237)="",TRIM(Raw_Data!P237)="N/A",TRIM(Raw_Data!P237)="TBD",TRIM(Raw_Data!P237)="-"),"Not Assigned",PROPER(TRIM(Raw_Data!P237)))</f>
        <v>Not Assigned</v>
      </c>
      <c r="Q237" s="24" t="str">
        <f t="shared" si="18"/>
        <v/>
      </c>
      <c r="R237" s="17" t="str">
        <f t="shared" si="19"/>
        <v/>
      </c>
      <c r="S237" s="17" t="str">
        <f>IF(COUNTIF($A$2:A237,A237)&gt;1,"Duplicate","Unique")</f>
        <v>Unique</v>
      </c>
      <c r="T237" s="17" t="str">
        <f t="shared" si="20"/>
        <v>Yes</v>
      </c>
      <c r="U237" s="17" t="str">
        <f t="shared" si="21"/>
        <v>No</v>
      </c>
      <c r="V237" s="17" t="str">
        <f t="shared" si="22"/>
        <v>No</v>
      </c>
      <c r="W237" s="17" t="str">
        <f t="shared" si="23"/>
        <v>Oct-2025</v>
      </c>
    </row>
    <row r="238" spans="1:23" x14ac:dyDescent="0.3">
      <c r="A238" s="17" t="str">
        <f>TRIM(Raw_Data!A238)</f>
        <v>REQ-2025-0237</v>
      </c>
      <c r="B238" s="22" t="str">
        <f>IF(Raw_Data!B238="","",IF(ISNUMBER(Raw_Data!B238),Raw_Data!B238,IF(ISNUMBER(SEARCH("/",Raw_Data!B238)),IFERROR(DATE(VALUE(RIGHT(Raw_Data!B238,4)),VALUE(MID(Raw_Data!B238,4,2)),VALUE(LEFT(Raw_Data!B238,2))),"Invalid Date"),IFERROR(DATEVALUE(Raw_Data!B238),"Invalid Date"))))</f>
        <v/>
      </c>
      <c r="C238" s="17" t="str">
        <f>IF(TRIM(Raw_Data!C238)="","",PROPER(TRIM(Raw_Data!C238)))</f>
        <v>Unit F - Ordnance Depot</v>
      </c>
      <c r="D238" s="17" t="str">
        <f>IF(TRIM(Raw_Data!D238)="","Not Specified",IFERROR(INDEX(Lookup_Tables!$H$6:$H$12,MATCH(TRIM(Raw_Data!D238),Lookup_Tables!$G$6:$G$12,0)),"Unknown - Review"))</f>
        <v>Northern</v>
      </c>
      <c r="E238" s="17" t="str">
        <f>IF(TRIM(Raw_Data!E238)="","Not Specified",IFERROR(INDEX(Lookup_Tables!$B$6:$B$18,MATCH(TRIM(Raw_Data!E238),Lookup_Tables!$A$6:$A$18,0)),"Unknown - Review"))</f>
        <v>Construction Material</v>
      </c>
      <c r="F238" s="17" t="str">
        <f>IF(TRIM(Raw_Data!F238)="","",TRIM(Raw_Data!F238))</f>
        <v>Sandbag (Pack of 50)</v>
      </c>
      <c r="G238" s="17">
        <f>IF(Raw_Data!G238="","",IF(VALUE(Raw_Data!G238)&lt;=0,"Invalid",VALUE(Raw_Data!G238)))</f>
        <v>190</v>
      </c>
      <c r="H238" s="17">
        <f>IF(Raw_Data!H238="","",IF(VALUE(Raw_Data!H238)&lt;=0,"Invalid",VALUE(Raw_Data!H238)))</f>
        <v>250</v>
      </c>
      <c r="I238" s="23">
        <f>IFERROR(VALUE(SUBSTITUTE(SUBSTITUTE(Raw_Data!I238,"₹",""),",","")),"")</f>
        <v>2256.36</v>
      </c>
      <c r="J238" s="17" t="str">
        <f>IF(TRIM(Raw_Data!J238)="","Not Specified",PROPER(TRIM(Raw_Data!J238)))</f>
        <v>Routine</v>
      </c>
      <c r="K238" s="17" t="str">
        <f>IF(TRIM(Raw_Data!K238)="","Not Specified",IFERROR(INDEX(Lookup_Tables!$E$6:$E$13,MATCH(TRIM(Raw_Data!K238),Lookup_Tables!$D$6:$D$13,0)),"Unknown - Review"))</f>
        <v>Delivered</v>
      </c>
      <c r="L238" s="17" t="str">
        <f>IF(TRIM(Raw_Data!L238)="","",PROPER(TRIM(Raw_Data!L238)))</f>
        <v>Unit Commander</v>
      </c>
      <c r="M238" s="22" t="str">
        <f>IF(Raw_Data!M238="","",IF(ISNUMBER(Raw_Data!M238),Raw_Data!M238,IF(ISNUMBER(SEARCH("/",Raw_Data!M238)),IFERROR(DATE(VALUE(RIGHT(Raw_Data!M238,4)),VALUE(MID(Raw_Data!M238,4,2)),VALUE(LEFT(Raw_Data!M238,2))),"Invalid Date"),IFERROR(DATEVALUE(Raw_Data!M238),"Invalid Date"))))</f>
        <v/>
      </c>
      <c r="N238" s="22">
        <f>IF(Raw_Data!N238="","",IF(ISNUMBER(Raw_Data!N238),Raw_Data!N238,IF(ISNUMBER(SEARCH("/",Raw_Data!N238)),IFERROR(DATE(VALUE(RIGHT(Raw_Data!N238,4)),VALUE(MID(Raw_Data!N238,4,2)),VALUE(LEFT(Raw_Data!N238,2))),"Invalid Date"),IFERROR(DATEVALUE(Raw_Data!N238),"Invalid Date"))))</f>
        <v>45749</v>
      </c>
      <c r="O238" s="22" t="str">
        <f>IF(Raw_Data!O238="","",IF(ISNUMBER(Raw_Data!O238),Raw_Data!O238,IF(ISNUMBER(SEARCH("/",Raw_Data!O238)),IFERROR(DATE(VALUE(RIGHT(Raw_Data!O238,4)),VALUE(MID(Raw_Data!O238,4,2)),VALUE(LEFT(Raw_Data!O238,2))),"Invalid Date"),IFERROR(DATEVALUE(Raw_Data!O238),"Invalid Date"))))</f>
        <v/>
      </c>
      <c r="P238" s="17" t="str">
        <f>IF(OR(TRIM(Raw_Data!P238)="",TRIM(Raw_Data!P238)="N/A",TRIM(Raw_Data!P238)="TBD",TRIM(Raw_Data!P238)="-"),"Not Assigned",PROPER(TRIM(Raw_Data!P238)))</f>
        <v>Om Suppliers</v>
      </c>
      <c r="Q238" s="24">
        <f t="shared" si="18"/>
        <v>564090</v>
      </c>
      <c r="R238" s="17" t="str">
        <f t="shared" si="19"/>
        <v/>
      </c>
      <c r="S238" s="17" t="str">
        <f>IF(COUNTIF($A$2:A238,A238)&gt;1,"Duplicate","Unique")</f>
        <v>Unique</v>
      </c>
      <c r="T238" s="17" t="str">
        <f t="shared" si="20"/>
        <v>No</v>
      </c>
      <c r="U238" s="17" t="str">
        <f t="shared" si="21"/>
        <v>Yes</v>
      </c>
      <c r="V238" s="17" t="str">
        <f t="shared" si="22"/>
        <v>No</v>
      </c>
      <c r="W238" s="17" t="str">
        <f t="shared" si="23"/>
        <v/>
      </c>
    </row>
    <row r="239" spans="1:23" x14ac:dyDescent="0.3">
      <c r="A239" s="17" t="str">
        <f>TRIM(Raw_Data!A239)</f>
        <v>REQ-2025-0238</v>
      </c>
      <c r="B239" s="22">
        <f>IF(Raw_Data!B239="","",IF(ISNUMBER(Raw_Data!B239),Raw_Data!B239,IF(ISNUMBER(SEARCH("/",Raw_Data!B239)),IFERROR(DATE(VALUE(RIGHT(Raw_Data!B239,4)),VALUE(MID(Raw_Data!B239,4,2)),VALUE(LEFT(Raw_Data!B239,2))),"Invalid Date"),IFERROR(DATEVALUE(Raw_Data!B239),"Invalid Date"))))</f>
        <v>45832</v>
      </c>
      <c r="C239" s="17" t="str">
        <f>IF(TRIM(Raw_Data!C239)="","",PROPER(TRIM(Raw_Data!C239)))</f>
        <v>Unit E - Medical Corps</v>
      </c>
      <c r="D239" s="17" t="str">
        <f>IF(TRIM(Raw_Data!D239)="","Not Specified",IFERROR(INDEX(Lookup_Tables!$H$6:$H$12,MATCH(TRIM(Raw_Data!D239),Lookup_Tables!$G$6:$G$12,0)),"Unknown - Review"))</f>
        <v>Central</v>
      </c>
      <c r="E239" s="17" t="str">
        <f>IF(TRIM(Raw_Data!E239)="","Not Specified",IFERROR(INDEX(Lookup_Tables!$B$6:$B$18,MATCH(TRIM(Raw_Data!E239),Lookup_Tables!$A$6:$A$18,0)),"Unknown - Review"))</f>
        <v>Office &amp; IT Equipment</v>
      </c>
      <c r="F239" s="17" t="str">
        <f>IF(TRIM(Raw_Data!F239)="","",TRIM(Raw_Data!F239))</f>
        <v>Laser Printer</v>
      </c>
      <c r="G239" s="17" t="str">
        <f>IF(Raw_Data!G239="","",IF(VALUE(Raw_Data!G239)&lt;=0,"Invalid",VALUE(Raw_Data!G239)))</f>
        <v/>
      </c>
      <c r="H239" s="17">
        <f>IF(Raw_Data!H239="","",IF(VALUE(Raw_Data!H239)&lt;=0,"Invalid",VALUE(Raw_Data!H239)))</f>
        <v>405</v>
      </c>
      <c r="I239" s="23" t="str">
        <f>IFERROR(VALUE(SUBSTITUTE(SUBSTITUTE(Raw_Data!I239,"₹",""),",","")),"")</f>
        <v/>
      </c>
      <c r="J239" s="17" t="str">
        <f>IF(TRIM(Raw_Data!J239)="","Not Specified",PROPER(TRIM(Raw_Data!J239)))</f>
        <v>Low</v>
      </c>
      <c r="K239" s="17" t="str">
        <f>IF(TRIM(Raw_Data!K239)="","Not Specified",IFERROR(INDEX(Lookup_Tables!$E$6:$E$13,MATCH(TRIM(Raw_Data!K239),Lookup_Tables!$D$6:$D$13,0)),"Unknown - Review"))</f>
        <v>Delivered</v>
      </c>
      <c r="L239" s="17" t="str">
        <f>IF(TRIM(Raw_Data!L239)="","",PROPER(TRIM(Raw_Data!L239)))</f>
        <v>Logistics Officer</v>
      </c>
      <c r="M239" s="22" t="str">
        <f>IF(Raw_Data!M239="","",IF(ISNUMBER(Raw_Data!M239),Raw_Data!M239,IF(ISNUMBER(SEARCH("/",Raw_Data!M239)),IFERROR(DATE(VALUE(RIGHT(Raw_Data!M239,4)),VALUE(MID(Raw_Data!M239,4,2)),VALUE(LEFT(Raw_Data!M239,2))),"Invalid Date"),IFERROR(DATEVALUE(Raw_Data!M239),"Invalid Date"))))</f>
        <v/>
      </c>
      <c r="N239" s="22">
        <f>IF(Raw_Data!N239="","",IF(ISNUMBER(Raw_Data!N239),Raw_Data!N239,IF(ISNUMBER(SEARCH("/",Raw_Data!N239)),IFERROR(DATE(VALUE(RIGHT(Raw_Data!N239,4)),VALUE(MID(Raw_Data!N239,4,2)),VALUE(LEFT(Raw_Data!N239,2))),"Invalid Date"),IFERROR(DATEVALUE(Raw_Data!N239),"Invalid Date"))))</f>
        <v>45863</v>
      </c>
      <c r="O239" s="22">
        <f>IF(Raw_Data!O239="","",IF(ISNUMBER(Raw_Data!O239),Raw_Data!O239,IF(ISNUMBER(SEARCH("/",Raw_Data!O239)),IFERROR(DATE(VALUE(RIGHT(Raw_Data!O239,4)),VALUE(MID(Raw_Data!O239,4,2)),VALUE(LEFT(Raw_Data!O239,2))),"Invalid Date"),IFERROR(DATEVALUE(Raw_Data!O239),"Invalid Date"))))</f>
        <v>45861</v>
      </c>
      <c r="P239" s="17" t="str">
        <f>IF(OR(TRIM(Raw_Data!P239)="",TRIM(Raw_Data!P239)="N/A",TRIM(Raw_Data!P239)="TBD",TRIM(Raw_Data!P239)="-"),"Not Assigned",PROPER(TRIM(Raw_Data!P239)))</f>
        <v>Sena Supply Co</v>
      </c>
      <c r="Q239" s="24" t="str">
        <f t="shared" si="18"/>
        <v/>
      </c>
      <c r="R239" s="17">
        <f t="shared" si="19"/>
        <v>-2</v>
      </c>
      <c r="S239" s="17" t="str">
        <f>IF(COUNTIF($A$2:A239,A239)&gt;1,"Duplicate","Unique")</f>
        <v>Unique</v>
      </c>
      <c r="T239" s="17" t="str">
        <f t="shared" si="20"/>
        <v>Yes</v>
      </c>
      <c r="U239" s="17" t="str">
        <f t="shared" si="21"/>
        <v>No</v>
      </c>
      <c r="V239" s="17" t="str">
        <f t="shared" si="22"/>
        <v>No</v>
      </c>
      <c r="W239" s="17" t="str">
        <f t="shared" si="23"/>
        <v>Jun-2025</v>
      </c>
    </row>
    <row r="240" spans="1:23" x14ac:dyDescent="0.3">
      <c r="A240" s="17" t="str">
        <f>TRIM(Raw_Data!A240)</f>
        <v>REQ-2025-0239</v>
      </c>
      <c r="B240" s="22">
        <f>IF(Raw_Data!B240="","",IF(ISNUMBER(Raw_Data!B240),Raw_Data!B240,IF(ISNUMBER(SEARCH("/",Raw_Data!B240)),IFERROR(DATE(VALUE(RIGHT(Raw_Data!B240,4)),VALUE(MID(Raw_Data!B240,4,2)),VALUE(LEFT(Raw_Data!B240,2))),"Invalid Date"),IFERROR(DATEVALUE(Raw_Data!B240),"Invalid Date"))))</f>
        <v>45975</v>
      </c>
      <c r="C240" s="17" t="str">
        <f>IF(TRIM(Raw_Data!C240)="","",PROPER(TRIM(Raw_Data!C240)))</f>
        <v>Unit A - Infantry</v>
      </c>
      <c r="D240" s="17" t="str">
        <f>IF(TRIM(Raw_Data!D240)="","Not Specified",IFERROR(INDEX(Lookup_Tables!$H$6:$H$12,MATCH(TRIM(Raw_Data!D240),Lookup_Tables!$G$6:$G$12,0)),"Unknown - Review"))</f>
        <v>Northern</v>
      </c>
      <c r="E240" s="17" t="str">
        <f>IF(TRIM(Raw_Data!E240)="","Not Specified",IFERROR(INDEX(Lookup_Tables!$B$6:$B$18,MATCH(TRIM(Raw_Data!E240),Lookup_Tables!$A$6:$A$18,0)),"Unknown - Review"))</f>
        <v>Office &amp; IT Equipment</v>
      </c>
      <c r="F240" s="17" t="str">
        <f>IF(TRIM(Raw_Data!F240)="","",TRIM(Raw_Data!F240))</f>
        <v>Filing Cabinet</v>
      </c>
      <c r="G240" s="17">
        <f>IF(Raw_Data!G240="","",IF(VALUE(Raw_Data!G240)&lt;=0,"Invalid",VALUE(Raw_Data!G240)))</f>
        <v>237</v>
      </c>
      <c r="H240" s="17">
        <f>IF(Raw_Data!H240="","",IF(VALUE(Raw_Data!H240)&lt;=0,"Invalid",VALUE(Raw_Data!H240)))</f>
        <v>173</v>
      </c>
      <c r="I240" s="23">
        <f>IFERROR(VALUE(SUBSTITUTE(SUBSTITUTE(Raw_Data!I240,"₹",""),",","")),"")</f>
        <v>701</v>
      </c>
      <c r="J240" s="17" t="str">
        <f>IF(TRIM(Raw_Data!J240)="","Not Specified",PROPER(TRIM(Raw_Data!J240)))</f>
        <v>Low</v>
      </c>
      <c r="K240" s="17" t="str">
        <f>IF(TRIM(Raw_Data!K240)="","Not Specified",IFERROR(INDEX(Lookup_Tables!$E$6:$E$13,MATCH(TRIM(Raw_Data!K240),Lookup_Tables!$D$6:$D$13,0)),"Unknown - Review"))</f>
        <v>Dispatched</v>
      </c>
      <c r="L240" s="17" t="str">
        <f>IF(TRIM(Raw_Data!L240)="","",PROPER(TRIM(Raw_Data!L240)))</f>
        <v>Quartermaster</v>
      </c>
      <c r="M240" s="22">
        <f>IF(Raw_Data!M240="","",IF(ISNUMBER(Raw_Data!M240),Raw_Data!M240,IF(ISNUMBER(SEARCH("/",Raw_Data!M240)),IFERROR(DATE(VALUE(RIGHT(Raw_Data!M240,4)),VALUE(MID(Raw_Data!M240,4,2)),VALUE(LEFT(Raw_Data!M240,2))),"Invalid Date"),IFERROR(DATEVALUE(Raw_Data!M240),"Invalid Date"))))</f>
        <v>45977</v>
      </c>
      <c r="N240" s="22">
        <f>IF(Raw_Data!N240="","",IF(ISNUMBER(Raw_Data!N240),Raw_Data!N240,IF(ISNUMBER(SEARCH("/",Raw_Data!N240)),IFERROR(DATE(VALUE(RIGHT(Raw_Data!N240,4)),VALUE(MID(Raw_Data!N240,4,2)),VALUE(LEFT(Raw_Data!N240,2))),"Invalid Date"),IFERROR(DATEVALUE(Raw_Data!N240),"Invalid Date"))))</f>
        <v>46000</v>
      </c>
      <c r="O240" s="22" t="str">
        <f>IF(Raw_Data!O240="","",IF(ISNUMBER(Raw_Data!O240),Raw_Data!O240,IF(ISNUMBER(SEARCH("/",Raw_Data!O240)),IFERROR(DATE(VALUE(RIGHT(Raw_Data!O240,4)),VALUE(MID(Raw_Data!O240,4,2)),VALUE(LEFT(Raw_Data!O240,2))),"Invalid Date"),IFERROR(DATEVALUE(Raw_Data!O240),"Invalid Date"))))</f>
        <v/>
      </c>
      <c r="P240" s="17" t="str">
        <f>IF(OR(TRIM(Raw_Data!P240)="",TRIM(Raw_Data!P240)="N/A",TRIM(Raw_Data!P240)="TBD",TRIM(Raw_Data!P240)="-"),"Not Assigned",PROPER(TRIM(Raw_Data!P240)))</f>
        <v>Vikram Enterprises</v>
      </c>
      <c r="Q240" s="24">
        <f t="shared" si="18"/>
        <v>121273</v>
      </c>
      <c r="R240" s="17" t="str">
        <f t="shared" si="19"/>
        <v/>
      </c>
      <c r="S240" s="17" t="str">
        <f>IF(COUNTIF($A$2:A240,A240)&gt;1,"Duplicate","Unique")</f>
        <v>Unique</v>
      </c>
      <c r="T240" s="17" t="str">
        <f t="shared" si="20"/>
        <v>No</v>
      </c>
      <c r="U240" s="17" t="str">
        <f t="shared" si="21"/>
        <v>No</v>
      </c>
      <c r="V240" s="17" t="str">
        <f t="shared" si="22"/>
        <v>Yes</v>
      </c>
      <c r="W240" s="17" t="str">
        <f t="shared" si="23"/>
        <v>Nov-2025</v>
      </c>
    </row>
    <row r="241" spans="1:23" x14ac:dyDescent="0.3">
      <c r="A241" s="17" t="str">
        <f>TRIM(Raw_Data!A241)</f>
        <v>REQ-2025-0240</v>
      </c>
      <c r="B241" s="22">
        <f>IF(Raw_Data!B241="","",IF(ISNUMBER(Raw_Data!B241),Raw_Data!B241,IF(ISNUMBER(SEARCH("/",Raw_Data!B241)),IFERROR(DATE(VALUE(RIGHT(Raw_Data!B241,4)),VALUE(MID(Raw_Data!B241,4,2)),VALUE(LEFT(Raw_Data!B241,2))),"Invalid Date"),IFERROR(DATEVALUE(Raw_Data!B241),"Invalid Date"))))</f>
        <v>45846</v>
      </c>
      <c r="C241" s="17" t="str">
        <f>IF(TRIM(Raw_Data!C241)="","",PROPER(TRIM(Raw_Data!C241)))</f>
        <v>Unit H - Air Defence</v>
      </c>
      <c r="D241" s="17" t="str">
        <f>IF(TRIM(Raw_Data!D241)="","Not Specified",IFERROR(INDEX(Lookup_Tables!$H$6:$H$12,MATCH(TRIM(Raw_Data!D241),Lookup_Tables!$G$6:$G$12,0)),"Unknown - Review"))</f>
        <v>Eastern</v>
      </c>
      <c r="E241" s="17" t="str">
        <f>IF(TRIM(Raw_Data!E241)="","Not Specified",IFERROR(INDEX(Lookup_Tables!$B$6:$B$18,MATCH(TRIM(Raw_Data!E241),Lookup_Tables!$A$6:$A$18,0)),"Unknown - Review"))</f>
        <v>Fuel &amp; Lubricants</v>
      </c>
      <c r="F241" s="17" t="str">
        <f>IF(TRIM(Raw_Data!F241)="","",TRIM(Raw_Data!F241))</f>
        <v>Engine Grease (5kg)</v>
      </c>
      <c r="G241" s="17">
        <f>IF(Raw_Data!G241="","",IF(VALUE(Raw_Data!G241)&lt;=0,"Invalid",VALUE(Raw_Data!G241)))</f>
        <v>126</v>
      </c>
      <c r="H241" s="17">
        <f>IF(Raw_Data!H241="","",IF(VALUE(Raw_Data!H241)&lt;=0,"Invalid",VALUE(Raw_Data!H241)))</f>
        <v>120</v>
      </c>
      <c r="I241" s="23">
        <f>IFERROR(VALUE(SUBSTITUTE(SUBSTITUTE(Raw_Data!I241,"₹",""),",","")),"")</f>
        <v>19079</v>
      </c>
      <c r="J241" s="17" t="str">
        <f>IF(TRIM(Raw_Data!J241)="","Not Specified",PROPER(TRIM(Raw_Data!J241)))</f>
        <v>Medium</v>
      </c>
      <c r="K241" s="17" t="str">
        <f>IF(TRIM(Raw_Data!K241)="","Not Specified",IFERROR(INDEX(Lookup_Tables!$E$6:$E$13,MATCH(TRIM(Raw_Data!K241),Lookup_Tables!$D$6:$D$13,0)),"Unknown - Review"))</f>
        <v>Delivered</v>
      </c>
      <c r="L241" s="17" t="str">
        <f>IF(TRIM(Raw_Data!L241)="","",PROPER(TRIM(Raw_Data!L241)))</f>
        <v>Quartermaster</v>
      </c>
      <c r="M241" s="22">
        <f>IF(Raw_Data!M241="","",IF(ISNUMBER(Raw_Data!M241),Raw_Data!M241,IF(ISNUMBER(SEARCH("/",Raw_Data!M241)),IFERROR(DATE(VALUE(RIGHT(Raw_Data!M241,4)),VALUE(MID(Raw_Data!M241,4,2)),VALUE(LEFT(Raw_Data!M241,2))),"Invalid Date"),IFERROR(DATEVALUE(Raw_Data!M241),"Invalid Date"))))</f>
        <v>45850</v>
      </c>
      <c r="N241" s="22" t="str">
        <f>IF(Raw_Data!N241="","",IF(ISNUMBER(Raw_Data!N241),Raw_Data!N241,IF(ISNUMBER(SEARCH("/",Raw_Data!N241)),IFERROR(DATE(VALUE(RIGHT(Raw_Data!N241,4)),VALUE(MID(Raw_Data!N241,4,2)),VALUE(LEFT(Raw_Data!N241,2))),"Invalid Date"),IFERROR(DATEVALUE(Raw_Data!N241),"Invalid Date"))))</f>
        <v/>
      </c>
      <c r="O241" s="22">
        <f>IF(Raw_Data!O241="","",IF(ISNUMBER(Raw_Data!O241),Raw_Data!O241,IF(ISNUMBER(SEARCH("/",Raw_Data!O241)),IFERROR(DATE(VALUE(RIGHT(Raw_Data!O241,4)),VALUE(MID(Raw_Data!O241,4,2)),VALUE(LEFT(Raw_Data!O241,2))),"Invalid Date"),IFERROR(DATEVALUE(Raw_Data!O241),"Invalid Date"))))</f>
        <v>45876</v>
      </c>
      <c r="P241" s="17" t="str">
        <f>IF(OR(TRIM(Raw_Data!P241)="",TRIM(Raw_Data!P241)="N/A",TRIM(Raw_Data!P241)="TBD",TRIM(Raw_Data!P241)="-"),"Not Assigned",PROPER(TRIM(Raw_Data!P241)))</f>
        <v>Not Assigned</v>
      </c>
      <c r="Q241" s="24">
        <f t="shared" si="18"/>
        <v>2289480</v>
      </c>
      <c r="R241" s="17" t="str">
        <f t="shared" si="19"/>
        <v/>
      </c>
      <c r="S241" s="17" t="str">
        <f>IF(COUNTIF($A$2:A241,A241)&gt;1,"Duplicate","Unique")</f>
        <v>Unique</v>
      </c>
      <c r="T241" s="17" t="str">
        <f t="shared" si="20"/>
        <v>No</v>
      </c>
      <c r="U241" s="17" t="str">
        <f t="shared" si="21"/>
        <v>No</v>
      </c>
      <c r="V241" s="17" t="str">
        <f t="shared" si="22"/>
        <v>Yes</v>
      </c>
      <c r="W241" s="17" t="str">
        <f t="shared" si="23"/>
        <v>Jul-2025</v>
      </c>
    </row>
    <row r="242" spans="1:23" x14ac:dyDescent="0.3">
      <c r="A242" s="17" t="str">
        <f>TRIM(Raw_Data!A242)</f>
        <v>REQ-2025-0241</v>
      </c>
      <c r="B242" s="22" t="str">
        <f>IF(Raw_Data!B242="","",IF(ISNUMBER(Raw_Data!B242),Raw_Data!B242,IF(ISNUMBER(SEARCH("/",Raw_Data!B242)),IFERROR(DATE(VALUE(RIGHT(Raw_Data!B242,4)),VALUE(MID(Raw_Data!B242,4,2)),VALUE(LEFT(Raw_Data!B242,2))),"Invalid Date"),IFERROR(DATEVALUE(Raw_Data!B242),"Invalid Date"))))</f>
        <v/>
      </c>
      <c r="C242" s="17" t="str">
        <f>IF(TRIM(Raw_Data!C242)="","",PROPER(TRIM(Raw_Data!C242)))</f>
        <v>Unit D - Signals</v>
      </c>
      <c r="D242" s="17" t="str">
        <f>IF(TRIM(Raw_Data!D242)="","Not Specified",IFERROR(INDEX(Lookup_Tables!$H$6:$H$12,MATCH(TRIM(Raw_Data!D242),Lookup_Tables!$G$6:$G$12,0)),"Unknown - Review"))</f>
        <v>Western</v>
      </c>
      <c r="E242" s="17" t="str">
        <f>IF(TRIM(Raw_Data!E242)="","Not Specified",IFERROR(INDEX(Lookup_Tables!$B$6:$B$18,MATCH(TRIM(Raw_Data!E242),Lookup_Tables!$A$6:$A$18,0)),"Unknown - Review"))</f>
        <v>Medical Supplies</v>
      </c>
      <c r="F242" s="17" t="str">
        <f>IF(TRIM(Raw_Data!F242)="","",TRIM(Raw_Data!F242))</f>
        <v>Surgical Gloves (Box)</v>
      </c>
      <c r="G242" s="17">
        <f>IF(Raw_Data!G242="","",IF(VALUE(Raw_Data!G242)&lt;=0,"Invalid",VALUE(Raw_Data!G242)))</f>
        <v>110</v>
      </c>
      <c r="H242" s="17">
        <f>IF(Raw_Data!H242="","",IF(VALUE(Raw_Data!H242)&lt;=0,"Invalid",VALUE(Raw_Data!H242)))</f>
        <v>77</v>
      </c>
      <c r="I242" s="23">
        <f>IFERROR(VALUE(SUBSTITUTE(SUBSTITUTE(Raw_Data!I242,"₹",""),",","")),"")</f>
        <v>594</v>
      </c>
      <c r="J242" s="17" t="str">
        <f>IF(TRIM(Raw_Data!J242)="","Not Specified",PROPER(TRIM(Raw_Data!J242)))</f>
        <v>Low</v>
      </c>
      <c r="K242" s="17" t="str">
        <f>IF(TRIM(Raw_Data!K242)="","Not Specified",IFERROR(INDEX(Lookup_Tables!$E$6:$E$13,MATCH(TRIM(Raw_Data!K242),Lookup_Tables!$D$6:$D$13,0)),"Unknown - Review"))</f>
        <v>Delivered</v>
      </c>
      <c r="L242" s="17" t="str">
        <f>IF(TRIM(Raw_Data!L242)="","",PROPER(TRIM(Raw_Data!L242)))</f>
        <v>Unit Commander</v>
      </c>
      <c r="M242" s="22">
        <f>IF(Raw_Data!M242="","",IF(ISNUMBER(Raw_Data!M242),Raw_Data!M242,IF(ISNUMBER(SEARCH("/",Raw_Data!M242)),IFERROR(DATE(VALUE(RIGHT(Raw_Data!M242,4)),VALUE(MID(Raw_Data!M242,4,2)),VALUE(LEFT(Raw_Data!M242,2))),"Invalid Date"),IFERROR(DATEVALUE(Raw_Data!M242),"Invalid Date"))))</f>
        <v>45910</v>
      </c>
      <c r="N242" s="22">
        <f>IF(Raw_Data!N242="","",IF(ISNUMBER(Raw_Data!N242),Raw_Data!N242,IF(ISNUMBER(SEARCH("/",Raw_Data!N242)),IFERROR(DATE(VALUE(RIGHT(Raw_Data!N242,4)),VALUE(MID(Raw_Data!N242,4,2)),VALUE(LEFT(Raw_Data!N242,2))),"Invalid Date"),IFERROR(DATEVALUE(Raw_Data!N242),"Invalid Date"))))</f>
        <v>45915</v>
      </c>
      <c r="O242" s="22">
        <f>IF(Raw_Data!O242="","",IF(ISNUMBER(Raw_Data!O242),Raw_Data!O242,IF(ISNUMBER(SEARCH("/",Raw_Data!O242)),IFERROR(DATE(VALUE(RIGHT(Raw_Data!O242,4)),VALUE(MID(Raw_Data!O242,4,2)),VALUE(LEFT(Raw_Data!O242,2))),"Invalid Date"),IFERROR(DATEVALUE(Raw_Data!O242),"Invalid Date"))))</f>
        <v>45927</v>
      </c>
      <c r="P242" s="17" t="str">
        <f>IF(OR(TRIM(Raw_Data!P242)="",TRIM(Raw_Data!P242)="N/A",TRIM(Raw_Data!P242)="TBD",TRIM(Raw_Data!P242)="-"),"Not Assigned",PROPER(TRIM(Raw_Data!P242)))</f>
        <v>Not Assigned</v>
      </c>
      <c r="Q242" s="24">
        <f t="shared" si="18"/>
        <v>45738</v>
      </c>
      <c r="R242" s="17">
        <f t="shared" si="19"/>
        <v>12</v>
      </c>
      <c r="S242" s="17" t="str">
        <f>IF(COUNTIF($A$2:A242,A242)&gt;1,"Duplicate","Unique")</f>
        <v>Unique</v>
      </c>
      <c r="T242" s="17" t="str">
        <f t="shared" si="20"/>
        <v>No</v>
      </c>
      <c r="U242" s="17" t="str">
        <f t="shared" si="21"/>
        <v>No</v>
      </c>
      <c r="V242" s="17" t="str">
        <f t="shared" si="22"/>
        <v>Yes</v>
      </c>
      <c r="W242" s="17" t="str">
        <f t="shared" si="23"/>
        <v/>
      </c>
    </row>
    <row r="243" spans="1:23" x14ac:dyDescent="0.3">
      <c r="A243" s="17" t="str">
        <f>TRIM(Raw_Data!A243)</f>
        <v>REQ-2025-0242</v>
      </c>
      <c r="B243" s="22" t="str">
        <f>IF(Raw_Data!B243="","",IF(ISNUMBER(Raw_Data!B243),Raw_Data!B243,IF(ISNUMBER(SEARCH("/",Raw_Data!B243)),IFERROR(DATE(VALUE(RIGHT(Raw_Data!B243,4)),VALUE(MID(Raw_Data!B243,4,2)),VALUE(LEFT(Raw_Data!B243,2))),"Invalid Date"),IFERROR(DATEVALUE(Raw_Data!B243),"Invalid Date"))))</f>
        <v/>
      </c>
      <c r="C243" s="17" t="str">
        <f>IF(TRIM(Raw_Data!C243)="","",PROPER(TRIM(Raw_Data!C243)))</f>
        <v>Unit G - Transport Corps</v>
      </c>
      <c r="D243" s="17" t="str">
        <f>IF(TRIM(Raw_Data!D243)="","Not Specified",IFERROR(INDEX(Lookup_Tables!$H$6:$H$12,MATCH(TRIM(Raw_Data!D243),Lookup_Tables!$G$6:$G$12,0)),"Unknown - Review"))</f>
        <v>Southern</v>
      </c>
      <c r="E243" s="17" t="str">
        <f>IF(TRIM(Raw_Data!E243)="","Not Specified",IFERROR(INDEX(Lookup_Tables!$B$6:$B$18,MATCH(TRIM(Raw_Data!E243),Lookup_Tables!$A$6:$A$18,0)),"Unknown - Review"))</f>
        <v>Vehicle Spares</v>
      </c>
      <c r="F243" s="17" t="str">
        <f>IF(TRIM(Raw_Data!F243)="","",TRIM(Raw_Data!F243))</f>
        <v>Engine Oil Filter</v>
      </c>
      <c r="G243" s="17">
        <f>IF(Raw_Data!G243="","",IF(VALUE(Raw_Data!G243)&lt;=0,"Invalid",VALUE(Raw_Data!G243)))</f>
        <v>419</v>
      </c>
      <c r="H243" s="17">
        <f>IF(Raw_Data!H243="","",IF(VALUE(Raw_Data!H243)&lt;=0,"Invalid",VALUE(Raw_Data!H243)))</f>
        <v>359</v>
      </c>
      <c r="I243" s="23">
        <f>IFERROR(VALUE(SUBSTITUTE(SUBSTITUTE(Raw_Data!I243,"₹",""),",","")),"")</f>
        <v>35986</v>
      </c>
      <c r="J243" s="17" t="str">
        <f>IF(TRIM(Raw_Data!J243)="","Not Specified",PROPER(TRIM(Raw_Data!J243)))</f>
        <v>Medium</v>
      </c>
      <c r="K243" s="17" t="str">
        <f>IF(TRIM(Raw_Data!K243)="","Not Specified",IFERROR(INDEX(Lookup_Tables!$E$6:$E$13,MATCH(TRIM(Raw_Data!K243),Lookup_Tables!$D$6:$D$13,0)),"Unknown - Review"))</f>
        <v>Approved</v>
      </c>
      <c r="L243" s="17" t="str">
        <f>IF(TRIM(Raw_Data!L243)="","",PROPER(TRIM(Raw_Data!L243)))</f>
        <v>Stores Officer</v>
      </c>
      <c r="M243" s="22">
        <f>IF(Raw_Data!M243="","",IF(ISNUMBER(Raw_Data!M243),Raw_Data!M243,IF(ISNUMBER(SEARCH("/",Raw_Data!M243)),IFERROR(DATE(VALUE(RIGHT(Raw_Data!M243,4)),VALUE(MID(Raw_Data!M243,4,2)),VALUE(LEFT(Raw_Data!M243,2))),"Invalid Date"),IFERROR(DATEVALUE(Raw_Data!M243),"Invalid Date"))))</f>
        <v>45775</v>
      </c>
      <c r="N243" s="22" t="str">
        <f>IF(Raw_Data!N243="","",IF(ISNUMBER(Raw_Data!N243),Raw_Data!N243,IF(ISNUMBER(SEARCH("/",Raw_Data!N243)),IFERROR(DATE(VALUE(RIGHT(Raw_Data!N243,4)),VALUE(MID(Raw_Data!N243,4,2)),VALUE(LEFT(Raw_Data!N243,2))),"Invalid Date"),IFERROR(DATEVALUE(Raw_Data!N243),"Invalid Date"))))</f>
        <v/>
      </c>
      <c r="O243" s="22" t="str">
        <f>IF(Raw_Data!O243="","",IF(ISNUMBER(Raw_Data!O243),Raw_Data!O243,IF(ISNUMBER(SEARCH("/",Raw_Data!O243)),IFERROR(DATE(VALUE(RIGHT(Raw_Data!O243,4)),VALUE(MID(Raw_Data!O243,4,2)),VALUE(LEFT(Raw_Data!O243,2))),"Invalid Date"),IFERROR(DATEVALUE(Raw_Data!O243),"Invalid Date"))))</f>
        <v/>
      </c>
      <c r="P243" s="17" t="str">
        <f>IF(OR(TRIM(Raw_Data!P243)="",TRIM(Raw_Data!P243)="N/A",TRIM(Raw_Data!P243)="TBD",TRIM(Raw_Data!P243)="-"),"Not Assigned",PROPER(TRIM(Raw_Data!P243)))</f>
        <v>Sena Supply Co</v>
      </c>
      <c r="Q243" s="24">
        <f t="shared" si="18"/>
        <v>12918974</v>
      </c>
      <c r="R243" s="17" t="str">
        <f t="shared" si="19"/>
        <v/>
      </c>
      <c r="S243" s="17" t="str">
        <f>IF(COUNTIF($A$2:A243,A243)&gt;1,"Duplicate","Unique")</f>
        <v>Unique</v>
      </c>
      <c r="T243" s="17" t="str">
        <f t="shared" si="20"/>
        <v>No</v>
      </c>
      <c r="U243" s="17" t="str">
        <f t="shared" si="21"/>
        <v>No</v>
      </c>
      <c r="V243" s="17" t="str">
        <f t="shared" si="22"/>
        <v>Yes</v>
      </c>
      <c r="W243" s="17" t="str">
        <f t="shared" si="23"/>
        <v/>
      </c>
    </row>
    <row r="244" spans="1:23" x14ac:dyDescent="0.3">
      <c r="A244" s="17" t="str">
        <f>TRIM(Raw_Data!A244)</f>
        <v>REQ-2025-0243</v>
      </c>
      <c r="B244" s="22">
        <f>IF(Raw_Data!B244="","",IF(ISNUMBER(Raw_Data!B244),Raw_Data!B244,IF(ISNUMBER(SEARCH("/",Raw_Data!B244)),IFERROR(DATE(VALUE(RIGHT(Raw_Data!B244,4)),VALUE(MID(Raw_Data!B244,4,2)),VALUE(LEFT(Raw_Data!B244,2))),"Invalid Date"),IFERROR(DATEVALUE(Raw_Data!B244),"Invalid Date"))))</f>
        <v>45699</v>
      </c>
      <c r="C244" s="17" t="str">
        <f>IF(TRIM(Raw_Data!C244)="","",PROPER(TRIM(Raw_Data!C244)))</f>
        <v>Unit E - Medical Corps</v>
      </c>
      <c r="D244" s="17" t="str">
        <f>IF(TRIM(Raw_Data!D244)="","Not Specified",IFERROR(INDEX(Lookup_Tables!$H$6:$H$12,MATCH(TRIM(Raw_Data!D244),Lookup_Tables!$G$6:$G$12,0)),"Unknown - Review"))</f>
        <v>Central</v>
      </c>
      <c r="E244" s="17" t="str">
        <f>IF(TRIM(Raw_Data!E244)="","Not Specified",IFERROR(INDEX(Lookup_Tables!$B$6:$B$18,MATCH(TRIM(Raw_Data!E244),Lookup_Tables!$A$6:$A$18,0)),"Unknown - Review"))</f>
        <v>Office &amp; IT Equipment</v>
      </c>
      <c r="F244" s="17" t="str">
        <f>IF(TRIM(Raw_Data!F244)="","",TRIM(Raw_Data!F244))</f>
        <v>Laser Printer</v>
      </c>
      <c r="G244" s="17">
        <f>IF(Raw_Data!G244="","",IF(VALUE(Raw_Data!G244)&lt;=0,"Invalid",VALUE(Raw_Data!G244)))</f>
        <v>265</v>
      </c>
      <c r="H244" s="17">
        <f>IF(Raw_Data!H244="","",IF(VALUE(Raw_Data!H244)&lt;=0,"Invalid",VALUE(Raw_Data!H244)))</f>
        <v>245</v>
      </c>
      <c r="I244" s="23">
        <f>IFERROR(VALUE(SUBSTITUTE(SUBSTITUTE(Raw_Data!I244,"₹",""),",","")),"")</f>
        <v>16935.830000000002</v>
      </c>
      <c r="J244" s="17" t="str">
        <f>IF(TRIM(Raw_Data!J244)="","Not Specified",PROPER(TRIM(Raw_Data!J244)))</f>
        <v>High</v>
      </c>
      <c r="K244" s="17" t="str">
        <f>IF(TRIM(Raw_Data!K244)="","Not Specified",IFERROR(INDEX(Lookup_Tables!$E$6:$E$13,MATCH(TRIM(Raw_Data!K244),Lookup_Tables!$D$6:$D$13,0)),"Unknown - Review"))</f>
        <v>Delivered</v>
      </c>
      <c r="L244" s="17" t="str">
        <f>IF(TRIM(Raw_Data!L244)="","",PROPER(TRIM(Raw_Data!L244)))</f>
        <v>Logistics Officer</v>
      </c>
      <c r="M244" s="22">
        <f>IF(Raw_Data!M244="","",IF(ISNUMBER(Raw_Data!M244),Raw_Data!M244,IF(ISNUMBER(SEARCH("/",Raw_Data!M244)),IFERROR(DATE(VALUE(RIGHT(Raw_Data!M244,4)),VALUE(MID(Raw_Data!M244,4,2)),VALUE(LEFT(Raw_Data!M244,2))),"Invalid Date"),IFERROR(DATEVALUE(Raw_Data!M244),"Invalid Date"))))</f>
        <v>45708</v>
      </c>
      <c r="N244" s="22">
        <f>IF(Raw_Data!N244="","",IF(ISNUMBER(Raw_Data!N244),Raw_Data!N244,IF(ISNUMBER(SEARCH("/",Raw_Data!N244)),IFERROR(DATE(VALUE(RIGHT(Raw_Data!N244,4)),VALUE(MID(Raw_Data!N244,4,2)),VALUE(LEFT(Raw_Data!N244,2))),"Invalid Date"),IFERROR(DATEVALUE(Raw_Data!N244),"Invalid Date"))))</f>
        <v>45727</v>
      </c>
      <c r="O244" s="22">
        <f>IF(Raw_Data!O244="","",IF(ISNUMBER(Raw_Data!O244),Raw_Data!O244,IF(ISNUMBER(SEARCH("/",Raw_Data!O244)),IFERROR(DATE(VALUE(RIGHT(Raw_Data!O244,4)),VALUE(MID(Raw_Data!O244,4,2)),VALUE(LEFT(Raw_Data!O244,2))),"Invalid Date"),IFERROR(DATEVALUE(Raw_Data!O244),"Invalid Date"))))</f>
        <v>45727</v>
      </c>
      <c r="P244" s="17" t="str">
        <f>IF(OR(TRIM(Raw_Data!P244)="",TRIM(Raw_Data!P244)="N/A",TRIM(Raw_Data!P244)="TBD",TRIM(Raw_Data!P244)="-"),"Not Assigned",PROPER(TRIM(Raw_Data!P244)))</f>
        <v>Om Suppliers</v>
      </c>
      <c r="Q244" s="24">
        <f t="shared" si="18"/>
        <v>4149278.3500000006</v>
      </c>
      <c r="R244" s="17">
        <f t="shared" si="19"/>
        <v>0</v>
      </c>
      <c r="S244" s="17" t="str">
        <f>IF(COUNTIF($A$2:A244,A244)&gt;1,"Duplicate","Unique")</f>
        <v>Unique</v>
      </c>
      <c r="T244" s="17" t="str">
        <f t="shared" si="20"/>
        <v>No</v>
      </c>
      <c r="U244" s="17" t="str">
        <f t="shared" si="21"/>
        <v>No</v>
      </c>
      <c r="V244" s="17" t="str">
        <f t="shared" si="22"/>
        <v>Yes</v>
      </c>
      <c r="W244" s="17" t="str">
        <f t="shared" si="23"/>
        <v>Feb-2025</v>
      </c>
    </row>
    <row r="245" spans="1:23" x14ac:dyDescent="0.3">
      <c r="A245" s="17" t="str">
        <f>TRIM(Raw_Data!A245)</f>
        <v>REQ-2025-0244</v>
      </c>
      <c r="B245" s="22">
        <f>IF(Raw_Data!B245="","",IF(ISNUMBER(Raw_Data!B245),Raw_Data!B245,IF(ISNUMBER(SEARCH("/",Raw_Data!B245)),IFERROR(DATE(VALUE(RIGHT(Raw_Data!B245,4)),VALUE(MID(Raw_Data!B245,4,2)),VALUE(LEFT(Raw_Data!B245,2))),"Invalid Date"),IFERROR(DATEVALUE(Raw_Data!B245),"Invalid Date"))))</f>
        <v>45809</v>
      </c>
      <c r="C245" s="17" t="str">
        <f>IF(TRIM(Raw_Data!C245)="","",PROPER(TRIM(Raw_Data!C245)))</f>
        <v>Unit E - Medical Corps</v>
      </c>
      <c r="D245" s="17" t="str">
        <f>IF(TRIM(Raw_Data!D245)="","Not Specified",IFERROR(INDEX(Lookup_Tables!$H$6:$H$12,MATCH(TRIM(Raw_Data!D245),Lookup_Tables!$G$6:$G$12,0)),"Unknown - Review"))</f>
        <v>Central</v>
      </c>
      <c r="E245" s="17" t="str">
        <f>IF(TRIM(Raw_Data!E245)="","Not Specified",IFERROR(INDEX(Lookup_Tables!$B$6:$B$18,MATCH(TRIM(Raw_Data!E245),Lookup_Tables!$A$6:$A$18,0)),"Unknown - Review"))</f>
        <v>Uniforms &amp; Clothing</v>
      </c>
      <c r="F245" s="17" t="str">
        <f>IF(TRIM(Raw_Data!F245)="","",TRIM(Raw_Data!F245))</f>
        <v>Combat Uniform Set</v>
      </c>
      <c r="G245" s="17" t="str">
        <f>IF(Raw_Data!G245="","",IF(VALUE(Raw_Data!G245)&lt;=0,"Invalid",VALUE(Raw_Data!G245)))</f>
        <v>Invalid</v>
      </c>
      <c r="H245" s="17" t="str">
        <f>IF(Raw_Data!H245="","",IF(VALUE(Raw_Data!H245)&lt;=0,"Invalid",VALUE(Raw_Data!H245)))</f>
        <v/>
      </c>
      <c r="I245" s="23">
        <f>IFERROR(VALUE(SUBSTITUTE(SUBSTITUTE(Raw_Data!I245,"₹",""),",","")),"")</f>
        <v>15236</v>
      </c>
      <c r="J245" s="17" t="str">
        <f>IF(TRIM(Raw_Data!J245)="","Not Specified",PROPER(TRIM(Raw_Data!J245)))</f>
        <v>Low</v>
      </c>
      <c r="K245" s="17" t="str">
        <f>IF(TRIM(Raw_Data!K245)="","Not Specified",IFERROR(INDEX(Lookup_Tables!$E$6:$E$13,MATCH(TRIM(Raw_Data!K245),Lookup_Tables!$D$6:$D$13,0)),"Unknown - Review"))</f>
        <v>Rejected</v>
      </c>
      <c r="L245" s="17" t="str">
        <f>IF(TRIM(Raw_Data!L245)="","",PROPER(TRIM(Raw_Data!L245)))</f>
        <v>Logistics Officer</v>
      </c>
      <c r="M245" s="22" t="str">
        <f>IF(Raw_Data!M245="","",IF(ISNUMBER(Raw_Data!M245),Raw_Data!M245,IF(ISNUMBER(SEARCH("/",Raw_Data!M245)),IFERROR(DATE(VALUE(RIGHT(Raw_Data!M245,4)),VALUE(MID(Raw_Data!M245,4,2)),VALUE(LEFT(Raw_Data!M245,2))),"Invalid Date"),IFERROR(DATEVALUE(Raw_Data!M245),"Invalid Date"))))</f>
        <v/>
      </c>
      <c r="N245" s="22" t="str">
        <f>IF(Raw_Data!N245="","",IF(ISNUMBER(Raw_Data!N245),Raw_Data!N245,IF(ISNUMBER(SEARCH("/",Raw_Data!N245)),IFERROR(DATE(VALUE(RIGHT(Raw_Data!N245,4)),VALUE(MID(Raw_Data!N245,4,2)),VALUE(LEFT(Raw_Data!N245,2))),"Invalid Date"),IFERROR(DATEVALUE(Raw_Data!N245),"Invalid Date"))))</f>
        <v/>
      </c>
      <c r="O245" s="22" t="str">
        <f>IF(Raw_Data!O245="","",IF(ISNUMBER(Raw_Data!O245),Raw_Data!O245,IF(ISNUMBER(SEARCH("/",Raw_Data!O245)),IFERROR(DATE(VALUE(RIGHT(Raw_Data!O245,4)),VALUE(MID(Raw_Data!O245,4,2)),VALUE(LEFT(Raw_Data!O245,2))),"Invalid Date"),IFERROR(DATEVALUE(Raw_Data!O245),"Invalid Date"))))</f>
        <v/>
      </c>
      <c r="P245" s="17" t="str">
        <f>IF(OR(TRIM(Raw_Data!P245)="",TRIM(Raw_Data!P245)="N/A",TRIM(Raw_Data!P245)="TBD",TRIM(Raw_Data!P245)="-"),"Not Assigned",PROPER(TRIM(Raw_Data!P245)))</f>
        <v>Central Ordnance Suppliers</v>
      </c>
      <c r="Q245" s="24" t="str">
        <f t="shared" si="18"/>
        <v/>
      </c>
      <c r="R245" s="17" t="str">
        <f t="shared" si="19"/>
        <v/>
      </c>
      <c r="S245" s="17" t="str">
        <f>IF(COUNTIF($A$2:A245,A245)&gt;1,"Duplicate","Unique")</f>
        <v>Unique</v>
      </c>
      <c r="T245" s="17" t="str">
        <f t="shared" si="20"/>
        <v>No</v>
      </c>
      <c r="U245" s="17" t="str">
        <f t="shared" si="21"/>
        <v>No</v>
      </c>
      <c r="V245" s="17" t="str">
        <f t="shared" si="22"/>
        <v>No</v>
      </c>
      <c r="W245" s="17" t="str">
        <f t="shared" si="23"/>
        <v>Jun-2025</v>
      </c>
    </row>
    <row r="246" spans="1:23" x14ac:dyDescent="0.3">
      <c r="A246" s="17" t="str">
        <f>TRIM(Raw_Data!A246)</f>
        <v>REQ-2025-0245</v>
      </c>
      <c r="B246" s="22" t="str">
        <f>IF(Raw_Data!B246="","",IF(ISNUMBER(Raw_Data!B246),Raw_Data!B246,IF(ISNUMBER(SEARCH("/",Raw_Data!B246)),IFERROR(DATE(VALUE(RIGHT(Raw_Data!B246,4)),VALUE(MID(Raw_Data!B246,4,2)),VALUE(LEFT(Raw_Data!B246,2))),"Invalid Date"),IFERROR(DATEVALUE(Raw_Data!B246),"Invalid Date"))))</f>
        <v/>
      </c>
      <c r="C246" s="17" t="str">
        <f>IF(TRIM(Raw_Data!C246)="","",PROPER(TRIM(Raw_Data!C246)))</f>
        <v>Unit B - Artillery</v>
      </c>
      <c r="D246" s="17" t="str">
        <f>IF(TRIM(Raw_Data!D246)="","Not Specified",IFERROR(INDEX(Lookup_Tables!$H$6:$H$12,MATCH(TRIM(Raw_Data!D246),Lookup_Tables!$G$6:$G$12,0)),"Unknown - Review"))</f>
        <v>Southern</v>
      </c>
      <c r="E246" s="17" t="str">
        <f>IF(TRIM(Raw_Data!E246)="","Not Specified",IFERROR(INDEX(Lookup_Tables!$B$6:$B$18,MATCH(TRIM(Raw_Data!E246),Lookup_Tables!$A$6:$A$18,0)),"Unknown - Review"))</f>
        <v>Fuel &amp; Lubricants</v>
      </c>
      <c r="F246" s="17" t="str">
        <f>IF(TRIM(Raw_Data!F246)="","",TRIM(Raw_Data!F246))</f>
        <v>Diesel (Drum 200L)</v>
      </c>
      <c r="G246" s="17">
        <f>IF(Raw_Data!G246="","",IF(VALUE(Raw_Data!G246)&lt;=0,"Invalid",VALUE(Raw_Data!G246)))</f>
        <v>133</v>
      </c>
      <c r="H246" s="17">
        <f>IF(Raw_Data!H246="","",IF(VALUE(Raw_Data!H246)&lt;=0,"Invalid",VALUE(Raw_Data!H246)))</f>
        <v>120</v>
      </c>
      <c r="I246" s="23">
        <f>IFERROR(VALUE(SUBSTITUTE(SUBSTITUTE(Raw_Data!I246,"₹",""),",","")),"")</f>
        <v>12459.74</v>
      </c>
      <c r="J246" s="17" t="str">
        <f>IF(TRIM(Raw_Data!J246)="","Not Specified",PROPER(TRIM(Raw_Data!J246)))</f>
        <v>Medium</v>
      </c>
      <c r="K246" s="17" t="str">
        <f>IF(TRIM(Raw_Data!K246)="","Not Specified",IFERROR(INDEX(Lookup_Tables!$E$6:$E$13,MATCH(TRIM(Raw_Data!K246),Lookup_Tables!$D$6:$D$13,0)),"Unknown - Review"))</f>
        <v>Approved</v>
      </c>
      <c r="L246" s="17" t="str">
        <f>IF(TRIM(Raw_Data!L246)="","",PROPER(TRIM(Raw_Data!L246)))</f>
        <v>Stores Officer</v>
      </c>
      <c r="M246" s="22">
        <f>IF(Raw_Data!M246="","",IF(ISNUMBER(Raw_Data!M246),Raw_Data!M246,IF(ISNUMBER(SEARCH("/",Raw_Data!M246)),IFERROR(DATE(VALUE(RIGHT(Raw_Data!M246,4)),VALUE(MID(Raw_Data!M246,4,2)),VALUE(LEFT(Raw_Data!M246,2))),"Invalid Date"),IFERROR(DATEVALUE(Raw_Data!M246),"Invalid Date"))))</f>
        <v>45947</v>
      </c>
      <c r="N246" s="22">
        <f>IF(Raw_Data!N246="","",IF(ISNUMBER(Raw_Data!N246),Raw_Data!N246,IF(ISNUMBER(SEARCH("/",Raw_Data!N246)),IFERROR(DATE(VALUE(RIGHT(Raw_Data!N246,4)),VALUE(MID(Raw_Data!N246,4,2)),VALUE(LEFT(Raw_Data!N246,2))),"Invalid Date"),IFERROR(DATEVALUE(Raw_Data!N246),"Invalid Date"))))</f>
        <v>45956</v>
      </c>
      <c r="O246" s="22" t="str">
        <f>IF(Raw_Data!O246="","",IF(ISNUMBER(Raw_Data!O246),Raw_Data!O246,IF(ISNUMBER(SEARCH("/",Raw_Data!O246)),IFERROR(DATE(VALUE(RIGHT(Raw_Data!O246,4)),VALUE(MID(Raw_Data!O246,4,2)),VALUE(LEFT(Raw_Data!O246,2))),"Invalid Date"),IFERROR(DATEVALUE(Raw_Data!O246),"Invalid Date"))))</f>
        <v/>
      </c>
      <c r="P246" s="17" t="str">
        <f>IF(OR(TRIM(Raw_Data!P246)="",TRIM(Raw_Data!P246)="N/A",TRIM(Raw_Data!P246)="TBD",TRIM(Raw_Data!P246)="-"),"Not Assigned",PROPER(TRIM(Raw_Data!P246)))</f>
        <v>Shakti Traders</v>
      </c>
      <c r="Q246" s="24">
        <f t="shared" si="18"/>
        <v>1495168.8</v>
      </c>
      <c r="R246" s="17" t="str">
        <f t="shared" si="19"/>
        <v/>
      </c>
      <c r="S246" s="17" t="str">
        <f>IF(COUNTIF($A$2:A246,A246)&gt;1,"Duplicate","Unique")</f>
        <v>Unique</v>
      </c>
      <c r="T246" s="17" t="str">
        <f t="shared" si="20"/>
        <v>No</v>
      </c>
      <c r="U246" s="17" t="str">
        <f t="shared" si="21"/>
        <v>No</v>
      </c>
      <c r="V246" s="17" t="str">
        <f t="shared" si="22"/>
        <v>Yes</v>
      </c>
      <c r="W246" s="17" t="str">
        <f t="shared" si="23"/>
        <v/>
      </c>
    </row>
    <row r="247" spans="1:23" x14ac:dyDescent="0.3">
      <c r="A247" s="17" t="str">
        <f>TRIM(Raw_Data!A247)</f>
        <v>REQ-2025-0246</v>
      </c>
      <c r="B247" s="22">
        <f>IF(Raw_Data!B247="","",IF(ISNUMBER(Raw_Data!B247),Raw_Data!B247,IF(ISNUMBER(SEARCH("/",Raw_Data!B247)),IFERROR(DATE(VALUE(RIGHT(Raw_Data!B247,4)),VALUE(MID(Raw_Data!B247,4,2)),VALUE(LEFT(Raw_Data!B247,2))),"Invalid Date"),IFERROR(DATEVALUE(Raw_Data!B247),"Invalid Date"))))</f>
        <v>45701</v>
      </c>
      <c r="C247" s="17" t="str">
        <f>IF(TRIM(Raw_Data!C247)="","",PROPER(TRIM(Raw_Data!C247)))</f>
        <v>Unit H - Air Defence</v>
      </c>
      <c r="D247" s="17" t="str">
        <f>IF(TRIM(Raw_Data!D247)="","Not Specified",IFERROR(INDEX(Lookup_Tables!$H$6:$H$12,MATCH(TRIM(Raw_Data!D247),Lookup_Tables!$G$6:$G$12,0)),"Unknown - Review"))</f>
        <v>Eastern</v>
      </c>
      <c r="E247" s="17" t="str">
        <f>IF(TRIM(Raw_Data!E247)="","Not Specified",IFERROR(INDEX(Lookup_Tables!$B$6:$B$18,MATCH(TRIM(Raw_Data!E247),Lookup_Tables!$A$6:$A$18,0)),"Unknown - Review"))</f>
        <v>Office &amp; IT Equipment</v>
      </c>
      <c r="F247" s="17" t="str">
        <f>IF(TRIM(Raw_Data!F247)="","",TRIM(Raw_Data!F247))</f>
        <v>Office Chair</v>
      </c>
      <c r="G247" s="17">
        <f>IF(Raw_Data!G247="","",IF(VALUE(Raw_Data!G247)&lt;=0,"Invalid",VALUE(Raw_Data!G247)))</f>
        <v>399</v>
      </c>
      <c r="H247" s="17">
        <f>IF(Raw_Data!H247="","",IF(VALUE(Raw_Data!H247)&lt;=0,"Invalid",VALUE(Raw_Data!H247)))</f>
        <v>331</v>
      </c>
      <c r="I247" s="23">
        <f>IFERROR(VALUE(SUBSTITUTE(SUBSTITUTE(Raw_Data!I247,"₹",""),",","")),"")</f>
        <v>38405</v>
      </c>
      <c r="J247" s="17" t="str">
        <f>IF(TRIM(Raw_Data!J247)="","Not Specified",PROPER(TRIM(Raw_Data!J247)))</f>
        <v>Medium</v>
      </c>
      <c r="K247" s="17" t="str">
        <f>IF(TRIM(Raw_Data!K247)="","Not Specified",IFERROR(INDEX(Lookup_Tables!$E$6:$E$13,MATCH(TRIM(Raw_Data!K247),Lookup_Tables!$D$6:$D$13,0)),"Unknown - Review"))</f>
        <v>Approved</v>
      </c>
      <c r="L247" s="17" t="str">
        <f>IF(TRIM(Raw_Data!L247)="","",PROPER(TRIM(Raw_Data!L247)))</f>
        <v>Unit Commander</v>
      </c>
      <c r="M247" s="22" t="str">
        <f>IF(Raw_Data!M247="","",IF(ISNUMBER(Raw_Data!M247),Raw_Data!M247,IF(ISNUMBER(SEARCH("/",Raw_Data!M247)),IFERROR(DATE(VALUE(RIGHT(Raw_Data!M247,4)),VALUE(MID(Raw_Data!M247,4,2)),VALUE(LEFT(Raw_Data!M247,2))),"Invalid Date"),IFERROR(DATEVALUE(Raw_Data!M247),"Invalid Date"))))</f>
        <v/>
      </c>
      <c r="N247" s="22">
        <f>IF(Raw_Data!N247="","",IF(ISNUMBER(Raw_Data!N247),Raw_Data!N247,IF(ISNUMBER(SEARCH("/",Raw_Data!N247)),IFERROR(DATE(VALUE(RIGHT(Raw_Data!N247,4)),VALUE(MID(Raw_Data!N247,4,2)),VALUE(LEFT(Raw_Data!N247,2))),"Invalid Date"),IFERROR(DATEVALUE(Raw_Data!N247),"Invalid Date"))))</f>
        <v>45718</v>
      </c>
      <c r="O247" s="22" t="str">
        <f>IF(Raw_Data!O247="","",IF(ISNUMBER(Raw_Data!O247),Raw_Data!O247,IF(ISNUMBER(SEARCH("/",Raw_Data!O247)),IFERROR(DATE(VALUE(RIGHT(Raw_Data!O247,4)),VALUE(MID(Raw_Data!O247,4,2)),VALUE(LEFT(Raw_Data!O247,2))),"Invalid Date"),IFERROR(DATEVALUE(Raw_Data!O247),"Invalid Date"))))</f>
        <v/>
      </c>
      <c r="P247" s="17" t="str">
        <f>IF(OR(TRIM(Raw_Data!P247)="",TRIM(Raw_Data!P247)="N/A",TRIM(Raw_Data!P247)="TBD",TRIM(Raw_Data!P247)="-"),"Not Assigned",PROPER(TRIM(Raw_Data!P247)))</f>
        <v>National Defence Stores</v>
      </c>
      <c r="Q247" s="24">
        <f t="shared" si="18"/>
        <v>12712055</v>
      </c>
      <c r="R247" s="17" t="str">
        <f t="shared" si="19"/>
        <v/>
      </c>
      <c r="S247" s="17" t="str">
        <f>IF(COUNTIF($A$2:A247,A247)&gt;1,"Duplicate","Unique")</f>
        <v>Unique</v>
      </c>
      <c r="T247" s="17" t="str">
        <f t="shared" si="20"/>
        <v>No</v>
      </c>
      <c r="U247" s="17" t="str">
        <f t="shared" si="21"/>
        <v>No</v>
      </c>
      <c r="V247" s="17" t="str">
        <f t="shared" si="22"/>
        <v>Yes</v>
      </c>
      <c r="W247" s="17" t="str">
        <f t="shared" si="23"/>
        <v>Feb-2025</v>
      </c>
    </row>
    <row r="248" spans="1:23" x14ac:dyDescent="0.3">
      <c r="A248" s="17" t="str">
        <f>TRIM(Raw_Data!A248)</f>
        <v>REQ-2025-0247</v>
      </c>
      <c r="B248" s="22">
        <f>IF(Raw_Data!B248="","",IF(ISNUMBER(Raw_Data!B248),Raw_Data!B248,IF(ISNUMBER(SEARCH("/",Raw_Data!B248)),IFERROR(DATE(VALUE(RIGHT(Raw_Data!B248,4)),VALUE(MID(Raw_Data!B248,4,2)),VALUE(LEFT(Raw_Data!B248,2))),"Invalid Date"),IFERROR(DATEVALUE(Raw_Data!B248),"Invalid Date"))))</f>
        <v>45762</v>
      </c>
      <c r="C248" s="17" t="str">
        <f>IF(TRIM(Raw_Data!C248)="","",PROPER(TRIM(Raw_Data!C248)))</f>
        <v>Unit F - Ordnance Depot</v>
      </c>
      <c r="D248" s="17" t="str">
        <f>IF(TRIM(Raw_Data!D248)="","Not Specified",IFERROR(INDEX(Lookup_Tables!$H$6:$H$12,MATCH(TRIM(Raw_Data!D248),Lookup_Tables!$G$6:$G$12,0)),"Unknown - Review"))</f>
        <v>Northern</v>
      </c>
      <c r="E248" s="17" t="str">
        <f>IF(TRIM(Raw_Data!E248)="","Not Specified",IFERROR(INDEX(Lookup_Tables!$B$6:$B$18,MATCH(TRIM(Raw_Data!E248),Lookup_Tables!$A$6:$A$18,0)),"Unknown - Review"))</f>
        <v>Construction Material</v>
      </c>
      <c r="F248" s="17" t="str">
        <f>IF(TRIM(Raw_Data!F248)="","",TRIM(Raw_Data!F248))</f>
        <v>Timber Plank Set</v>
      </c>
      <c r="G248" s="17">
        <f>IF(Raw_Data!G248="","",IF(VALUE(Raw_Data!G248)&lt;=0,"Invalid",VALUE(Raw_Data!G248)))</f>
        <v>101</v>
      </c>
      <c r="H248" s="17">
        <f>IF(Raw_Data!H248="","",IF(VALUE(Raw_Data!H248)&lt;=0,"Invalid",VALUE(Raw_Data!H248)))</f>
        <v>99</v>
      </c>
      <c r="I248" s="23" t="str">
        <f>IFERROR(VALUE(SUBSTITUTE(SUBSTITUTE(Raw_Data!I248,"₹",""),",","")),"")</f>
        <v/>
      </c>
      <c r="J248" s="17" t="str">
        <f>IF(TRIM(Raw_Data!J248)="","Not Specified",PROPER(TRIM(Raw_Data!J248)))</f>
        <v>High</v>
      </c>
      <c r="K248" s="17" t="str">
        <f>IF(TRIM(Raw_Data!K248)="","Not Specified",IFERROR(INDEX(Lookup_Tables!$E$6:$E$13,MATCH(TRIM(Raw_Data!K248),Lookup_Tables!$D$6:$D$13,0)),"Unknown - Review"))</f>
        <v>Delivered</v>
      </c>
      <c r="L248" s="17" t="str">
        <f>IF(TRIM(Raw_Data!L248)="","",PROPER(TRIM(Raw_Data!L248)))</f>
        <v>Unit Commander</v>
      </c>
      <c r="M248" s="22">
        <f>IF(Raw_Data!M248="","",IF(ISNUMBER(Raw_Data!M248),Raw_Data!M248,IF(ISNUMBER(SEARCH("/",Raw_Data!M248)),IFERROR(DATE(VALUE(RIGHT(Raw_Data!M248,4)),VALUE(MID(Raw_Data!M248,4,2)),VALUE(LEFT(Raw_Data!M248,2))),"Invalid Date"),IFERROR(DATEVALUE(Raw_Data!M248),"Invalid Date"))))</f>
        <v>45767</v>
      </c>
      <c r="N248" s="22">
        <f>IF(Raw_Data!N248="","",IF(ISNUMBER(Raw_Data!N248),Raw_Data!N248,IF(ISNUMBER(SEARCH("/",Raw_Data!N248)),IFERROR(DATE(VALUE(RIGHT(Raw_Data!N248,4)),VALUE(MID(Raw_Data!N248,4,2)),VALUE(LEFT(Raw_Data!N248,2))),"Invalid Date"),IFERROR(DATEVALUE(Raw_Data!N248),"Invalid Date"))))</f>
        <v>45774</v>
      </c>
      <c r="O248" s="22">
        <f>IF(Raw_Data!O248="","",IF(ISNUMBER(Raw_Data!O248),Raw_Data!O248,IF(ISNUMBER(SEARCH("/",Raw_Data!O248)),IFERROR(DATE(VALUE(RIGHT(Raw_Data!O248,4)),VALUE(MID(Raw_Data!O248,4,2)),VALUE(LEFT(Raw_Data!O248,2))),"Invalid Date"),IFERROR(DATEVALUE(Raw_Data!O248),"Invalid Date"))))</f>
        <v>45774</v>
      </c>
      <c r="P248" s="17" t="str">
        <f>IF(OR(TRIM(Raw_Data!P248)="",TRIM(Raw_Data!P248)="N/A",TRIM(Raw_Data!P248)="TBD",TRIM(Raw_Data!P248)="-"),"Not Assigned",PROPER(TRIM(Raw_Data!P248)))</f>
        <v>Sena Supply Co</v>
      </c>
      <c r="Q248" s="24" t="str">
        <f t="shared" si="18"/>
        <v/>
      </c>
      <c r="R248" s="17">
        <f t="shared" si="19"/>
        <v>0</v>
      </c>
      <c r="S248" s="17" t="str">
        <f>IF(COUNTIF($A$2:A248,A248)&gt;1,"Duplicate","Unique")</f>
        <v>Unique</v>
      </c>
      <c r="T248" s="17" t="str">
        <f t="shared" si="20"/>
        <v>No</v>
      </c>
      <c r="U248" s="17" t="str">
        <f t="shared" si="21"/>
        <v>No</v>
      </c>
      <c r="V248" s="17" t="str">
        <f t="shared" si="22"/>
        <v>Yes</v>
      </c>
      <c r="W248" s="17" t="str">
        <f t="shared" si="23"/>
        <v>Apr-2025</v>
      </c>
    </row>
    <row r="249" spans="1:23" x14ac:dyDescent="0.3">
      <c r="A249" s="17" t="str">
        <f>TRIM(Raw_Data!A249)</f>
        <v>REQ-2025-0248</v>
      </c>
      <c r="B249" s="22">
        <f>IF(Raw_Data!B249="","",IF(ISNUMBER(Raw_Data!B249),Raw_Data!B249,IF(ISNUMBER(SEARCH("/",Raw_Data!B249)),IFERROR(DATE(VALUE(RIGHT(Raw_Data!B249,4)),VALUE(MID(Raw_Data!B249,4,2)),VALUE(LEFT(Raw_Data!B249,2))),"Invalid Date"),IFERROR(DATEVALUE(Raw_Data!B249),"Invalid Date"))))</f>
        <v>45693</v>
      </c>
      <c r="C249" s="17" t="str">
        <f>IF(TRIM(Raw_Data!C249)="","",PROPER(TRIM(Raw_Data!C249)))</f>
        <v>Unit B - Artillery</v>
      </c>
      <c r="D249" s="17" t="str">
        <f>IF(TRIM(Raw_Data!D249)="","Not Specified",IFERROR(INDEX(Lookup_Tables!$H$6:$H$12,MATCH(TRIM(Raw_Data!D249),Lookup_Tables!$G$6:$G$12,0)),"Unknown - Review"))</f>
        <v>Southern</v>
      </c>
      <c r="E249" s="17" t="str">
        <f>IF(TRIM(Raw_Data!E249)="","Not Specified",IFERROR(INDEX(Lookup_Tables!$B$6:$B$18,MATCH(TRIM(Raw_Data!E249),Lookup_Tables!$A$6:$A$18,0)),"Unknown - Review"))</f>
        <v>Construction Material</v>
      </c>
      <c r="F249" s="17" t="str">
        <f>IF(TRIM(Raw_Data!F249)="","",TRIM(Raw_Data!F249))</f>
        <v>Timber Plank Set</v>
      </c>
      <c r="G249" s="17">
        <f>IF(Raw_Data!G249="","",IF(VALUE(Raw_Data!G249)&lt;=0,"Invalid",VALUE(Raw_Data!G249)))</f>
        <v>450</v>
      </c>
      <c r="H249" s="17" t="str">
        <f>IF(Raw_Data!H249="","",IF(VALUE(Raw_Data!H249)&lt;=0,"Invalid",VALUE(Raw_Data!H249)))</f>
        <v/>
      </c>
      <c r="I249" s="23">
        <f>IFERROR(VALUE(SUBSTITUTE(SUBSTITUTE(Raw_Data!I249,"₹",""),",","")),"")</f>
        <v>31979</v>
      </c>
      <c r="J249" s="17" t="str">
        <f>IF(TRIM(Raw_Data!J249)="","Not Specified",PROPER(TRIM(Raw_Data!J249)))</f>
        <v>Medium</v>
      </c>
      <c r="K249" s="17" t="str">
        <f>IF(TRIM(Raw_Data!K249)="","Not Specified",IFERROR(INDEX(Lookup_Tables!$E$6:$E$13,MATCH(TRIM(Raw_Data!K249),Lookup_Tables!$D$6:$D$13,0)),"Unknown - Review"))</f>
        <v>Rejected</v>
      </c>
      <c r="L249" s="17" t="str">
        <f>IF(TRIM(Raw_Data!L249)="","",PROPER(TRIM(Raw_Data!L249)))</f>
        <v>Logistics Officer</v>
      </c>
      <c r="M249" s="22" t="str">
        <f>IF(Raw_Data!M249="","",IF(ISNUMBER(Raw_Data!M249),Raw_Data!M249,IF(ISNUMBER(SEARCH("/",Raw_Data!M249)),IFERROR(DATE(VALUE(RIGHT(Raw_Data!M249,4)),VALUE(MID(Raw_Data!M249,4,2)),VALUE(LEFT(Raw_Data!M249,2))),"Invalid Date"),IFERROR(DATEVALUE(Raw_Data!M249),"Invalid Date"))))</f>
        <v/>
      </c>
      <c r="N249" s="22" t="str">
        <f>IF(Raw_Data!N249="","",IF(ISNUMBER(Raw_Data!N249),Raw_Data!N249,IF(ISNUMBER(SEARCH("/",Raw_Data!N249)),IFERROR(DATE(VALUE(RIGHT(Raw_Data!N249,4)),VALUE(MID(Raw_Data!N249,4,2)),VALUE(LEFT(Raw_Data!N249,2))),"Invalid Date"),IFERROR(DATEVALUE(Raw_Data!N249),"Invalid Date"))))</f>
        <v/>
      </c>
      <c r="O249" s="22" t="str">
        <f>IF(Raw_Data!O249="","",IF(ISNUMBER(Raw_Data!O249),Raw_Data!O249,IF(ISNUMBER(SEARCH("/",Raw_Data!O249)),IFERROR(DATE(VALUE(RIGHT(Raw_Data!O249,4)),VALUE(MID(Raw_Data!O249,4,2)),VALUE(LEFT(Raw_Data!O249,2))),"Invalid Date"),IFERROR(DATEVALUE(Raw_Data!O249),"Invalid Date"))))</f>
        <v/>
      </c>
      <c r="P249" s="17" t="str">
        <f>IF(OR(TRIM(Raw_Data!P249)="",TRIM(Raw_Data!P249)="N/A",TRIM(Raw_Data!P249)="TBD",TRIM(Raw_Data!P249)="-"),"Not Assigned",PROPER(TRIM(Raw_Data!P249)))</f>
        <v>Central Ordnance Suppliers</v>
      </c>
      <c r="Q249" s="24" t="str">
        <f t="shared" si="18"/>
        <v/>
      </c>
      <c r="R249" s="17" t="str">
        <f t="shared" si="19"/>
        <v/>
      </c>
      <c r="S249" s="17" t="str">
        <f>IF(COUNTIF($A$2:A249,A249)&gt;1,"Duplicate","Unique")</f>
        <v>Unique</v>
      </c>
      <c r="T249" s="17" t="str">
        <f t="shared" si="20"/>
        <v>No</v>
      </c>
      <c r="U249" s="17" t="str">
        <f t="shared" si="21"/>
        <v>No</v>
      </c>
      <c r="V249" s="17" t="str">
        <f t="shared" si="22"/>
        <v>Yes</v>
      </c>
      <c r="W249" s="17" t="str">
        <f t="shared" si="23"/>
        <v>Feb-2025</v>
      </c>
    </row>
    <row r="250" spans="1:23" x14ac:dyDescent="0.3">
      <c r="A250" s="17" t="str">
        <f>TRIM(Raw_Data!A250)</f>
        <v>REQ-2025-0249</v>
      </c>
      <c r="B250" s="22">
        <f>IF(Raw_Data!B250="","",IF(ISNUMBER(Raw_Data!B250),Raw_Data!B250,IF(ISNUMBER(SEARCH("/",Raw_Data!B250)),IFERROR(DATE(VALUE(RIGHT(Raw_Data!B250,4)),VALUE(MID(Raw_Data!B250,4,2)),VALUE(LEFT(Raw_Data!B250,2))),"Invalid Date"),IFERROR(DATEVALUE(Raw_Data!B250),"Invalid Date"))))</f>
        <v>45988</v>
      </c>
      <c r="C250" s="17" t="str">
        <f>IF(TRIM(Raw_Data!C250)="","",PROPER(TRIM(Raw_Data!C250)))</f>
        <v>Unit H - Air Defence</v>
      </c>
      <c r="D250" s="17" t="str">
        <f>IF(TRIM(Raw_Data!D250)="","Not Specified",IFERROR(INDEX(Lookup_Tables!$H$6:$H$12,MATCH(TRIM(Raw_Data!D250),Lookup_Tables!$G$6:$G$12,0)),"Unknown - Review"))</f>
        <v>Eastern</v>
      </c>
      <c r="E250" s="17" t="str">
        <f>IF(TRIM(Raw_Data!E250)="","Not Specified",IFERROR(INDEX(Lookup_Tables!$B$6:$B$18,MATCH(TRIM(Raw_Data!E250),Lookup_Tables!$A$6:$A$18,0)),"Unknown - Review"))</f>
        <v>Vehicle Spares</v>
      </c>
      <c r="F250" s="17" t="str">
        <f>IF(TRIM(Raw_Data!F250)="","",TRIM(Raw_Data!F250))</f>
        <v>Engine Oil Filter</v>
      </c>
      <c r="G250" s="17">
        <f>IF(Raw_Data!G250="","",IF(VALUE(Raw_Data!G250)&lt;=0,"Invalid",VALUE(Raw_Data!G250)))</f>
        <v>363</v>
      </c>
      <c r="H250" s="17">
        <f>IF(Raw_Data!H250="","",IF(VALUE(Raw_Data!H250)&lt;=0,"Invalid",VALUE(Raw_Data!H250)))</f>
        <v>296</v>
      </c>
      <c r="I250" s="23">
        <f>IFERROR(VALUE(SUBSTITUTE(SUBSTITUTE(Raw_Data!I250,"₹",""),",","")),"")</f>
        <v>37080.82</v>
      </c>
      <c r="J250" s="17" t="str">
        <f>IF(TRIM(Raw_Data!J250)="","Not Specified",PROPER(TRIM(Raw_Data!J250)))</f>
        <v>Routine</v>
      </c>
      <c r="K250" s="17" t="str">
        <f>IF(TRIM(Raw_Data!K250)="","Not Specified",IFERROR(INDEX(Lookup_Tables!$E$6:$E$13,MATCH(TRIM(Raw_Data!K250),Lookup_Tables!$D$6:$D$13,0)),"Unknown - Review"))</f>
        <v>Delivered</v>
      </c>
      <c r="L250" s="17" t="str">
        <f>IF(TRIM(Raw_Data!L250)="","",PROPER(TRIM(Raw_Data!L250)))</f>
        <v>Stores Officer</v>
      </c>
      <c r="M250" s="22">
        <f>IF(Raw_Data!M250="","",IF(ISNUMBER(Raw_Data!M250),Raw_Data!M250,IF(ISNUMBER(SEARCH("/",Raw_Data!M250)),IFERROR(DATE(VALUE(RIGHT(Raw_Data!M250,4)),VALUE(MID(Raw_Data!M250,4,2)),VALUE(LEFT(Raw_Data!M250,2))),"Invalid Date"),IFERROR(DATEVALUE(Raw_Data!M250),"Invalid Date"))))</f>
        <v>45991</v>
      </c>
      <c r="N250" s="22">
        <f>IF(Raw_Data!N250="","",IF(ISNUMBER(Raw_Data!N250),Raw_Data!N250,IF(ISNUMBER(SEARCH("/",Raw_Data!N250)),IFERROR(DATE(VALUE(RIGHT(Raw_Data!N250,4)),VALUE(MID(Raw_Data!N250,4,2)),VALUE(LEFT(Raw_Data!N250,2))),"Invalid Date"),IFERROR(DATEVALUE(Raw_Data!N250),"Invalid Date"))))</f>
        <v>46009</v>
      </c>
      <c r="O250" s="22">
        <f>IF(Raw_Data!O250="","",IF(ISNUMBER(Raw_Data!O250),Raw_Data!O250,IF(ISNUMBER(SEARCH("/",Raw_Data!O250)),IFERROR(DATE(VALUE(RIGHT(Raw_Data!O250,4)),VALUE(MID(Raw_Data!O250,4,2)),VALUE(LEFT(Raw_Data!O250,2))),"Invalid Date"),IFERROR(DATEVALUE(Raw_Data!O250),"Invalid Date"))))</f>
        <v>46011</v>
      </c>
      <c r="P250" s="17" t="str">
        <f>IF(OR(TRIM(Raw_Data!P250)="",TRIM(Raw_Data!P250)="N/A",TRIM(Raw_Data!P250)="TBD",TRIM(Raw_Data!P250)="-"),"Not Assigned",PROPER(TRIM(Raw_Data!P250)))</f>
        <v>National Defence Stores</v>
      </c>
      <c r="Q250" s="24">
        <f t="shared" si="18"/>
        <v>10975922.720000001</v>
      </c>
      <c r="R250" s="17">
        <f t="shared" si="19"/>
        <v>2</v>
      </c>
      <c r="S250" s="17" t="str">
        <f>IF(COUNTIF($A$2:A250,A250)&gt;1,"Duplicate","Unique")</f>
        <v>Unique</v>
      </c>
      <c r="T250" s="17" t="str">
        <f t="shared" si="20"/>
        <v>No</v>
      </c>
      <c r="U250" s="17" t="str">
        <f t="shared" si="21"/>
        <v>No</v>
      </c>
      <c r="V250" s="17" t="str">
        <f t="shared" si="22"/>
        <v>Yes</v>
      </c>
      <c r="W250" s="17" t="str">
        <f t="shared" si="23"/>
        <v>Nov-2025</v>
      </c>
    </row>
    <row r="251" spans="1:23" x14ac:dyDescent="0.3">
      <c r="A251" s="17" t="str">
        <f>TRIM(Raw_Data!A251)</f>
        <v>REQ-2025-0250</v>
      </c>
      <c r="B251" s="22">
        <f>IF(Raw_Data!B251="","",IF(ISNUMBER(Raw_Data!B251),Raw_Data!B251,IF(ISNUMBER(SEARCH("/",Raw_Data!B251)),IFERROR(DATE(VALUE(RIGHT(Raw_Data!B251,4)),VALUE(MID(Raw_Data!B251,4,2)),VALUE(LEFT(Raw_Data!B251,2))),"Invalid Date"),IFERROR(DATEVALUE(Raw_Data!B251),"Invalid Date"))))</f>
        <v>45824</v>
      </c>
      <c r="C251" s="17" t="str">
        <f>IF(TRIM(Raw_Data!C251)="","",PROPER(TRIM(Raw_Data!C251)))</f>
        <v>Unit B - Artillery</v>
      </c>
      <c r="D251" s="17" t="str">
        <f>IF(TRIM(Raw_Data!D251)="","Not Specified",IFERROR(INDEX(Lookup_Tables!$H$6:$H$12,MATCH(TRIM(Raw_Data!D251),Lookup_Tables!$G$6:$G$12,0)),"Unknown - Review"))</f>
        <v>Northern</v>
      </c>
      <c r="E251" s="17" t="str">
        <f>IF(TRIM(Raw_Data!E251)="","Not Specified",IFERROR(INDEX(Lookup_Tables!$B$6:$B$18,MATCH(TRIM(Raw_Data!E251),Lookup_Tables!$A$6:$A$18,0)),"Unknown - Review"))</f>
        <v>Vehicle Spares</v>
      </c>
      <c r="F251" s="17" t="str">
        <f>IF(TRIM(Raw_Data!F251)="","",TRIM(Raw_Data!F251))</f>
        <v>Clutch Plate</v>
      </c>
      <c r="G251" s="17">
        <f>IF(Raw_Data!G251="","",IF(VALUE(Raw_Data!G251)&lt;=0,"Invalid",VALUE(Raw_Data!G251)))</f>
        <v>111</v>
      </c>
      <c r="H251" s="17" t="str">
        <f>IF(Raw_Data!H251="","",IF(VALUE(Raw_Data!H251)&lt;=0,"Invalid",VALUE(Raw_Data!H251)))</f>
        <v/>
      </c>
      <c r="I251" s="23">
        <f>IFERROR(VALUE(SUBSTITUTE(SUBSTITUTE(Raw_Data!I251,"₹",""),",","")),"")</f>
        <v>3432.82</v>
      </c>
      <c r="J251" s="17" t="str">
        <f>IF(TRIM(Raw_Data!J251)="","Not Specified",PROPER(TRIM(Raw_Data!J251)))</f>
        <v>Medium</v>
      </c>
      <c r="K251" s="17" t="str">
        <f>IF(TRIM(Raw_Data!K251)="","Not Specified",IFERROR(INDEX(Lookup_Tables!$E$6:$E$13,MATCH(TRIM(Raw_Data!K251),Lookup_Tables!$D$6:$D$13,0)),"Unknown - Review"))</f>
        <v>Rejected</v>
      </c>
      <c r="L251" s="17" t="str">
        <f>IF(TRIM(Raw_Data!L251)="","",PROPER(TRIM(Raw_Data!L251)))</f>
        <v>Stores Officer</v>
      </c>
      <c r="M251" s="22" t="str">
        <f>IF(Raw_Data!M251="","",IF(ISNUMBER(Raw_Data!M251),Raw_Data!M251,IF(ISNUMBER(SEARCH("/",Raw_Data!M251)),IFERROR(DATE(VALUE(RIGHT(Raw_Data!M251,4)),VALUE(MID(Raw_Data!M251,4,2)),VALUE(LEFT(Raw_Data!M251,2))),"Invalid Date"),IFERROR(DATEVALUE(Raw_Data!M251),"Invalid Date"))))</f>
        <v/>
      </c>
      <c r="N251" s="22" t="str">
        <f>IF(Raw_Data!N251="","",IF(ISNUMBER(Raw_Data!N251),Raw_Data!N251,IF(ISNUMBER(SEARCH("/",Raw_Data!N251)),IFERROR(DATE(VALUE(RIGHT(Raw_Data!N251,4)),VALUE(MID(Raw_Data!N251,4,2)),VALUE(LEFT(Raw_Data!N251,2))),"Invalid Date"),IFERROR(DATEVALUE(Raw_Data!N251),"Invalid Date"))))</f>
        <v/>
      </c>
      <c r="O251" s="22" t="str">
        <f>IF(Raw_Data!O251="","",IF(ISNUMBER(Raw_Data!O251),Raw_Data!O251,IF(ISNUMBER(SEARCH("/",Raw_Data!O251)),IFERROR(DATE(VALUE(RIGHT(Raw_Data!O251,4)),VALUE(MID(Raw_Data!O251,4,2)),VALUE(LEFT(Raw_Data!O251,2))),"Invalid Date"),IFERROR(DATEVALUE(Raw_Data!O251),"Invalid Date"))))</f>
        <v/>
      </c>
      <c r="P251" s="17" t="str">
        <f>IF(OR(TRIM(Raw_Data!P251)="",TRIM(Raw_Data!P251)="N/A",TRIM(Raw_Data!P251)="TBD",TRIM(Raw_Data!P251)="-"),"Not Assigned",PROPER(TRIM(Raw_Data!P251)))</f>
        <v>Central Ordnance Suppliers</v>
      </c>
      <c r="Q251" s="24" t="str">
        <f t="shared" si="18"/>
        <v/>
      </c>
      <c r="R251" s="17" t="str">
        <f t="shared" si="19"/>
        <v/>
      </c>
      <c r="S251" s="17" t="str">
        <f>IF(COUNTIF($A$2:A251,A251)&gt;1,"Duplicate","Unique")</f>
        <v>Unique</v>
      </c>
      <c r="T251" s="17" t="str">
        <f t="shared" si="20"/>
        <v>No</v>
      </c>
      <c r="U251" s="17" t="str">
        <f t="shared" si="21"/>
        <v>No</v>
      </c>
      <c r="V251" s="17" t="str">
        <f t="shared" si="22"/>
        <v>Yes</v>
      </c>
      <c r="W251" s="17" t="str">
        <f t="shared" si="23"/>
        <v>Jun-2025</v>
      </c>
    </row>
    <row r="252" spans="1:23" x14ac:dyDescent="0.3">
      <c r="A252" s="17" t="str">
        <f>TRIM(Raw_Data!A252)</f>
        <v>REQ-2025-0251</v>
      </c>
      <c r="B252" s="22" t="str">
        <f>IF(Raw_Data!B252="","",IF(ISNUMBER(Raw_Data!B252),Raw_Data!B252,IF(ISNUMBER(SEARCH("/",Raw_Data!B252)),IFERROR(DATE(VALUE(RIGHT(Raw_Data!B252,4)),VALUE(MID(Raw_Data!B252,4,2)),VALUE(LEFT(Raw_Data!B252,2))),"Invalid Date"),IFERROR(DATEVALUE(Raw_Data!B252),"Invalid Date"))))</f>
        <v/>
      </c>
      <c r="C252" s="17" t="str">
        <f>IF(TRIM(Raw_Data!C252)="","",PROPER(TRIM(Raw_Data!C252)))</f>
        <v>Unit E - Medical Corps</v>
      </c>
      <c r="D252" s="17" t="str">
        <f>IF(TRIM(Raw_Data!D252)="","Not Specified",IFERROR(INDEX(Lookup_Tables!$H$6:$H$12,MATCH(TRIM(Raw_Data!D252),Lookup_Tables!$G$6:$G$12,0)),"Unknown - Review"))</f>
        <v>Central</v>
      </c>
      <c r="E252" s="17" t="str">
        <f>IF(TRIM(Raw_Data!E252)="","Not Specified",IFERROR(INDEX(Lookup_Tables!$B$6:$B$18,MATCH(TRIM(Raw_Data!E252),Lookup_Tables!$A$6:$A$18,0)),"Unknown - Review"))</f>
        <v>Uniforms &amp; Clothing</v>
      </c>
      <c r="F252" s="17" t="str">
        <f>IF(TRIM(Raw_Data!F252)="","",TRIM(Raw_Data!F252))</f>
        <v>Combat Uniform Set</v>
      </c>
      <c r="G252" s="17">
        <f>IF(Raw_Data!G252="","",IF(VALUE(Raw_Data!G252)&lt;=0,"Invalid",VALUE(Raw_Data!G252)))</f>
        <v>278</v>
      </c>
      <c r="H252" s="17" t="str">
        <f>IF(Raw_Data!H252="","",IF(VALUE(Raw_Data!H252)&lt;=0,"Invalid",VALUE(Raw_Data!H252)))</f>
        <v/>
      </c>
      <c r="I252" s="23">
        <f>IFERROR(VALUE(SUBSTITUTE(SUBSTITUTE(Raw_Data!I252,"₹",""),",","")),"")</f>
        <v>7705.13</v>
      </c>
      <c r="J252" s="17" t="str">
        <f>IF(TRIM(Raw_Data!J252)="","Not Specified",PROPER(TRIM(Raw_Data!J252)))</f>
        <v>Low</v>
      </c>
      <c r="K252" s="17" t="str">
        <f>IF(TRIM(Raw_Data!K252)="","Not Specified",IFERROR(INDEX(Lookup_Tables!$E$6:$E$13,MATCH(TRIM(Raw_Data!K252),Lookup_Tables!$D$6:$D$13,0)),"Unknown - Review"))</f>
        <v>Pending</v>
      </c>
      <c r="L252" s="17" t="str">
        <f>IF(TRIM(Raw_Data!L252)="","",PROPER(TRIM(Raw_Data!L252)))</f>
        <v>Quartermaster</v>
      </c>
      <c r="M252" s="22" t="str">
        <f>IF(Raw_Data!M252="","",IF(ISNUMBER(Raw_Data!M252),Raw_Data!M252,IF(ISNUMBER(SEARCH("/",Raw_Data!M252)),IFERROR(DATE(VALUE(RIGHT(Raw_Data!M252,4)),VALUE(MID(Raw_Data!M252,4,2)),VALUE(LEFT(Raw_Data!M252,2))),"Invalid Date"),IFERROR(DATEVALUE(Raw_Data!M252),"Invalid Date"))))</f>
        <v/>
      </c>
      <c r="N252" s="22" t="str">
        <f>IF(Raw_Data!N252="","",IF(ISNUMBER(Raw_Data!N252),Raw_Data!N252,IF(ISNUMBER(SEARCH("/",Raw_Data!N252)),IFERROR(DATE(VALUE(RIGHT(Raw_Data!N252,4)),VALUE(MID(Raw_Data!N252,4,2)),VALUE(LEFT(Raw_Data!N252,2))),"Invalid Date"),IFERROR(DATEVALUE(Raw_Data!N252),"Invalid Date"))))</f>
        <v/>
      </c>
      <c r="O252" s="22" t="str">
        <f>IF(Raw_Data!O252="","",IF(ISNUMBER(Raw_Data!O252),Raw_Data!O252,IF(ISNUMBER(SEARCH("/",Raw_Data!O252)),IFERROR(DATE(VALUE(RIGHT(Raw_Data!O252,4)),VALUE(MID(Raw_Data!O252,4,2)),VALUE(LEFT(Raw_Data!O252,2))),"Invalid Date"),IFERROR(DATEVALUE(Raw_Data!O252),"Invalid Date"))))</f>
        <v/>
      </c>
      <c r="P252" s="17" t="str">
        <f>IF(OR(TRIM(Raw_Data!P252)="",TRIM(Raw_Data!P252)="N/A",TRIM(Raw_Data!P252)="TBD",TRIM(Raw_Data!P252)="-"),"Not Assigned",PROPER(TRIM(Raw_Data!P252)))</f>
        <v>Not Assigned</v>
      </c>
      <c r="Q252" s="24" t="str">
        <f t="shared" si="18"/>
        <v/>
      </c>
      <c r="R252" s="17" t="str">
        <f t="shared" si="19"/>
        <v/>
      </c>
      <c r="S252" s="17" t="str">
        <f>IF(COUNTIF($A$2:A252,A252)&gt;1,"Duplicate","Unique")</f>
        <v>Unique</v>
      </c>
      <c r="T252" s="17" t="str">
        <f t="shared" si="20"/>
        <v>No</v>
      </c>
      <c r="U252" s="17" t="str">
        <f t="shared" si="21"/>
        <v>No</v>
      </c>
      <c r="V252" s="17" t="str">
        <f t="shared" si="22"/>
        <v>Yes</v>
      </c>
      <c r="W252" s="17" t="str">
        <f t="shared" si="23"/>
        <v/>
      </c>
    </row>
    <row r="253" spans="1:23" x14ac:dyDescent="0.3">
      <c r="A253" s="17" t="str">
        <f>TRIM(Raw_Data!A253)</f>
        <v>REQ-2025-0252</v>
      </c>
      <c r="B253" s="22">
        <f>IF(Raw_Data!B253="","",IF(ISNUMBER(Raw_Data!B253),Raw_Data!B253,IF(ISNUMBER(SEARCH("/",Raw_Data!B253)),IFERROR(DATE(VALUE(RIGHT(Raw_Data!B253,4)),VALUE(MID(Raw_Data!B253,4,2)),VALUE(LEFT(Raw_Data!B253,2))),"Invalid Date"),IFERROR(DATEVALUE(Raw_Data!B253),"Invalid Date"))))</f>
        <v>45851</v>
      </c>
      <c r="C253" s="17" t="str">
        <f>IF(TRIM(Raw_Data!C253)="","",PROPER(TRIM(Raw_Data!C253)))</f>
        <v>Unit H - Air Defence</v>
      </c>
      <c r="D253" s="17" t="str">
        <f>IF(TRIM(Raw_Data!D253)="","Not Specified",IFERROR(INDEX(Lookup_Tables!$H$6:$H$12,MATCH(TRIM(Raw_Data!D253),Lookup_Tables!$G$6:$G$12,0)),"Unknown - Review"))</f>
        <v>Eastern</v>
      </c>
      <c r="E253" s="17" t="str">
        <f>IF(TRIM(Raw_Data!E253)="","Not Specified",IFERROR(INDEX(Lookup_Tables!$B$6:$B$18,MATCH(TRIM(Raw_Data!E253),Lookup_Tables!$A$6:$A$18,0)),"Unknown - Review"))</f>
        <v>Rations</v>
      </c>
      <c r="F253" s="17" t="str">
        <f>IF(TRIM(Raw_Data!F253)="","",TRIM(Raw_Data!F253))</f>
        <v>Dry Ration Pack</v>
      </c>
      <c r="G253" s="17">
        <f>IF(Raw_Data!G253="","",IF(VALUE(Raw_Data!G253)&lt;=0,"Invalid",VALUE(Raw_Data!G253)))</f>
        <v>470</v>
      </c>
      <c r="H253" s="17">
        <f>IF(Raw_Data!H253="","",IF(VALUE(Raw_Data!H253)&lt;=0,"Invalid",VALUE(Raw_Data!H253)))</f>
        <v>388</v>
      </c>
      <c r="I253" s="23">
        <f>IFERROR(VALUE(SUBSTITUTE(SUBSTITUTE(Raw_Data!I253,"₹",""),",","")),"")</f>
        <v>44519.68</v>
      </c>
      <c r="J253" s="17" t="str">
        <f>IF(TRIM(Raw_Data!J253)="","Not Specified",PROPER(TRIM(Raw_Data!J253)))</f>
        <v>Medium</v>
      </c>
      <c r="K253" s="17" t="str">
        <f>IF(TRIM(Raw_Data!K253)="","Not Specified",IFERROR(INDEX(Lookup_Tables!$E$6:$E$13,MATCH(TRIM(Raw_Data!K253),Lookup_Tables!$D$6:$D$13,0)),"Unknown - Review"))</f>
        <v>Delivered</v>
      </c>
      <c r="L253" s="17" t="str">
        <f>IF(TRIM(Raw_Data!L253)="","",PROPER(TRIM(Raw_Data!L253)))</f>
        <v>Stores Officer</v>
      </c>
      <c r="M253" s="22">
        <f>IF(Raw_Data!M253="","",IF(ISNUMBER(Raw_Data!M253),Raw_Data!M253,IF(ISNUMBER(SEARCH("/",Raw_Data!M253)),IFERROR(DATE(VALUE(RIGHT(Raw_Data!M253,4)),VALUE(MID(Raw_Data!M253,4,2)),VALUE(LEFT(Raw_Data!M253,2))),"Invalid Date"),IFERROR(DATEVALUE(Raw_Data!M253),"Invalid Date"))))</f>
        <v>45857</v>
      </c>
      <c r="N253" s="22" t="str">
        <f>IF(Raw_Data!N253="","",IF(ISNUMBER(Raw_Data!N253),Raw_Data!N253,IF(ISNUMBER(SEARCH("/",Raw_Data!N253)),IFERROR(DATE(VALUE(RIGHT(Raw_Data!N253,4)),VALUE(MID(Raw_Data!N253,4,2)),VALUE(LEFT(Raw_Data!N253,2))),"Invalid Date"),IFERROR(DATEVALUE(Raw_Data!N253),"Invalid Date"))))</f>
        <v/>
      </c>
      <c r="O253" s="22">
        <f>IF(Raw_Data!O253="","",IF(ISNUMBER(Raw_Data!O253),Raw_Data!O253,IF(ISNUMBER(SEARCH("/",Raw_Data!O253)),IFERROR(DATE(VALUE(RIGHT(Raw_Data!O253,4)),VALUE(MID(Raw_Data!O253,4,2)),VALUE(LEFT(Raw_Data!O253,2))),"Invalid Date"),IFERROR(DATEVALUE(Raw_Data!O253),"Invalid Date"))))</f>
        <v>45884</v>
      </c>
      <c r="P253" s="17" t="str">
        <f>IF(OR(TRIM(Raw_Data!P253)="",TRIM(Raw_Data!P253)="N/A",TRIM(Raw_Data!P253)="TBD",TRIM(Raw_Data!P253)="-"),"Not Assigned",PROPER(TRIM(Raw_Data!P253)))</f>
        <v>Sena Supply Co</v>
      </c>
      <c r="Q253" s="24">
        <f t="shared" si="18"/>
        <v>17273635.84</v>
      </c>
      <c r="R253" s="17" t="str">
        <f t="shared" si="19"/>
        <v/>
      </c>
      <c r="S253" s="17" t="str">
        <f>IF(COUNTIF($A$2:A253,A253)&gt;1,"Duplicate","Unique")</f>
        <v>Unique</v>
      </c>
      <c r="T253" s="17" t="str">
        <f t="shared" si="20"/>
        <v>No</v>
      </c>
      <c r="U253" s="17" t="str">
        <f t="shared" si="21"/>
        <v>No</v>
      </c>
      <c r="V253" s="17" t="str">
        <f t="shared" si="22"/>
        <v>Yes</v>
      </c>
      <c r="W253" s="17" t="str">
        <f t="shared" si="23"/>
        <v>Jul-2025</v>
      </c>
    </row>
    <row r="254" spans="1:23" x14ac:dyDescent="0.3">
      <c r="A254" s="17" t="str">
        <f>TRIM(Raw_Data!A254)</f>
        <v>REQ-2025-0253</v>
      </c>
      <c r="B254" s="22">
        <f>IF(Raw_Data!B254="","",IF(ISNUMBER(Raw_Data!B254),Raw_Data!B254,IF(ISNUMBER(SEARCH("/",Raw_Data!B254)),IFERROR(DATE(VALUE(RIGHT(Raw_Data!B254,4)),VALUE(MID(Raw_Data!B254,4,2)),VALUE(LEFT(Raw_Data!B254,2))),"Invalid Date"),IFERROR(DATEVALUE(Raw_Data!B254),"Invalid Date"))))</f>
        <v>45766</v>
      </c>
      <c r="C254" s="17" t="str">
        <f>IF(TRIM(Raw_Data!C254)="","",PROPER(TRIM(Raw_Data!C254)))</f>
        <v>Unit G - Transport Corps</v>
      </c>
      <c r="D254" s="17" t="str">
        <f>IF(TRIM(Raw_Data!D254)="","Not Specified",IFERROR(INDEX(Lookup_Tables!$H$6:$H$12,MATCH(TRIM(Raw_Data!D254),Lookup_Tables!$G$6:$G$12,0)),"Unknown - Review"))</f>
        <v>Southern</v>
      </c>
      <c r="E254" s="17" t="str">
        <f>IF(TRIM(Raw_Data!E254)="","Not Specified",IFERROR(INDEX(Lookup_Tables!$B$6:$B$18,MATCH(TRIM(Raw_Data!E254),Lookup_Tables!$A$6:$A$18,0)),"Unknown - Review"))</f>
        <v>Rations</v>
      </c>
      <c r="F254" s="17" t="str">
        <f>IF(TRIM(Raw_Data!F254)="","",TRIM(Raw_Data!F254))</f>
        <v>Wheat Flour (50kg bag)</v>
      </c>
      <c r="G254" s="17">
        <f>IF(Raw_Data!G254="","",IF(VALUE(Raw_Data!G254)&lt;=0,"Invalid",VALUE(Raw_Data!G254)))</f>
        <v>337</v>
      </c>
      <c r="H254" s="17">
        <f>IF(Raw_Data!H254="","",IF(VALUE(Raw_Data!H254)&lt;=0,"Invalid",VALUE(Raw_Data!H254)))</f>
        <v>460</v>
      </c>
      <c r="I254" s="23">
        <f>IFERROR(VALUE(SUBSTITUTE(SUBSTITUTE(Raw_Data!I254,"₹",""),",","")),"")</f>
        <v>18588</v>
      </c>
      <c r="J254" s="17" t="str">
        <f>IF(TRIM(Raw_Data!J254)="","Not Specified",PROPER(TRIM(Raw_Data!J254)))</f>
        <v>High</v>
      </c>
      <c r="K254" s="17" t="str">
        <f>IF(TRIM(Raw_Data!K254)="","Not Specified",IFERROR(INDEX(Lookup_Tables!$E$6:$E$13,MATCH(TRIM(Raw_Data!K254),Lookup_Tables!$D$6:$D$13,0)),"Unknown - Review"))</f>
        <v>Dispatched</v>
      </c>
      <c r="L254" s="17" t="str">
        <f>IF(TRIM(Raw_Data!L254)="","",PROPER(TRIM(Raw_Data!L254)))</f>
        <v>Stores Officer</v>
      </c>
      <c r="M254" s="22">
        <f>IF(Raw_Data!M254="","",IF(ISNUMBER(Raw_Data!M254),Raw_Data!M254,IF(ISNUMBER(SEARCH("/",Raw_Data!M254)),IFERROR(DATE(VALUE(RIGHT(Raw_Data!M254,4)),VALUE(MID(Raw_Data!M254,4,2)),VALUE(LEFT(Raw_Data!M254,2))),"Invalid Date"),IFERROR(DATEVALUE(Raw_Data!M254),"Invalid Date"))))</f>
        <v>45776</v>
      </c>
      <c r="N254" s="22">
        <f>IF(Raw_Data!N254="","",IF(ISNUMBER(Raw_Data!N254),Raw_Data!N254,IF(ISNUMBER(SEARCH("/",Raw_Data!N254)),IFERROR(DATE(VALUE(RIGHT(Raw_Data!N254,4)),VALUE(MID(Raw_Data!N254,4,2)),VALUE(LEFT(Raw_Data!N254,2))),"Invalid Date"),IFERROR(DATEVALUE(Raw_Data!N254),"Invalid Date"))))</f>
        <v>45796</v>
      </c>
      <c r="O254" s="22" t="str">
        <f>IF(Raw_Data!O254="","",IF(ISNUMBER(Raw_Data!O254),Raw_Data!O254,IF(ISNUMBER(SEARCH("/",Raw_Data!O254)),IFERROR(DATE(VALUE(RIGHT(Raw_Data!O254,4)),VALUE(MID(Raw_Data!O254,4,2)),VALUE(LEFT(Raw_Data!O254,2))),"Invalid Date"),IFERROR(DATEVALUE(Raw_Data!O254),"Invalid Date"))))</f>
        <v/>
      </c>
      <c r="P254" s="17" t="str">
        <f>IF(OR(TRIM(Raw_Data!P254)="",TRIM(Raw_Data!P254)="N/A",TRIM(Raw_Data!P254)="TBD",TRIM(Raw_Data!P254)="-"),"Not Assigned",PROPER(TRIM(Raw_Data!P254)))</f>
        <v>Sena Supply Co</v>
      </c>
      <c r="Q254" s="24">
        <f t="shared" si="18"/>
        <v>8550480</v>
      </c>
      <c r="R254" s="17" t="str">
        <f t="shared" si="19"/>
        <v/>
      </c>
      <c r="S254" s="17" t="str">
        <f>IF(COUNTIF($A$2:A254,A254)&gt;1,"Duplicate","Unique")</f>
        <v>Unique</v>
      </c>
      <c r="T254" s="17" t="str">
        <f t="shared" si="20"/>
        <v>No</v>
      </c>
      <c r="U254" s="17" t="str">
        <f t="shared" si="21"/>
        <v>Yes</v>
      </c>
      <c r="V254" s="17" t="str">
        <f t="shared" si="22"/>
        <v>No</v>
      </c>
      <c r="W254" s="17" t="str">
        <f t="shared" si="23"/>
        <v>Apr-2025</v>
      </c>
    </row>
    <row r="255" spans="1:23" x14ac:dyDescent="0.3">
      <c r="A255" s="17" t="str">
        <f>TRIM(Raw_Data!A255)</f>
        <v>REQ-2025-0254</v>
      </c>
      <c r="B255" s="22">
        <f>IF(Raw_Data!B255="","",IF(ISNUMBER(Raw_Data!B255),Raw_Data!B255,IF(ISNUMBER(SEARCH("/",Raw_Data!B255)),IFERROR(DATE(VALUE(RIGHT(Raw_Data!B255,4)),VALUE(MID(Raw_Data!B255,4,2)),VALUE(LEFT(Raw_Data!B255,2))),"Invalid Date"),IFERROR(DATEVALUE(Raw_Data!B255),"Invalid Date"))))</f>
        <v>45919</v>
      </c>
      <c r="C255" s="17" t="str">
        <f>IF(TRIM(Raw_Data!C255)="","",PROPER(TRIM(Raw_Data!C255)))</f>
        <v>Unit B - Artillery</v>
      </c>
      <c r="D255" s="17" t="str">
        <f>IF(TRIM(Raw_Data!D255)="","Not Specified",IFERROR(INDEX(Lookup_Tables!$H$6:$H$12,MATCH(TRIM(Raw_Data!D255),Lookup_Tables!$G$6:$G$12,0)),"Unknown - Review"))</f>
        <v>Southern</v>
      </c>
      <c r="E255" s="17" t="str">
        <f>IF(TRIM(Raw_Data!E255)="","Not Specified",IFERROR(INDEX(Lookup_Tables!$B$6:$B$18,MATCH(TRIM(Raw_Data!E255),Lookup_Tables!$A$6:$A$18,0)),"Unknown - Review"))</f>
        <v>Office &amp; IT Equipment</v>
      </c>
      <c r="F255" s="17" t="str">
        <f>IF(TRIM(Raw_Data!F255)="","",TRIM(Raw_Data!F255))</f>
        <v>Filing Cabinet</v>
      </c>
      <c r="G255" s="17" t="str">
        <f>IF(Raw_Data!G255="","",IF(VALUE(Raw_Data!G255)&lt;=0,"Invalid",VALUE(Raw_Data!G255)))</f>
        <v>Invalid</v>
      </c>
      <c r="H255" s="17">
        <f>IF(Raw_Data!H255="","",IF(VALUE(Raw_Data!H255)&lt;=0,"Invalid",VALUE(Raw_Data!H255)))</f>
        <v>91</v>
      </c>
      <c r="I255" s="23" t="str">
        <f>IFERROR(VALUE(SUBSTITUTE(SUBSTITUTE(Raw_Data!I255,"₹",""),",","")),"")</f>
        <v/>
      </c>
      <c r="J255" s="17" t="str">
        <f>IF(TRIM(Raw_Data!J255)="","Not Specified",PROPER(TRIM(Raw_Data!J255)))</f>
        <v>Medium</v>
      </c>
      <c r="K255" s="17" t="str">
        <f>IF(TRIM(Raw_Data!K255)="","Not Specified",IFERROR(INDEX(Lookup_Tables!$E$6:$E$13,MATCH(TRIM(Raw_Data!K255),Lookup_Tables!$D$6:$D$13,0)),"Unknown - Review"))</f>
        <v>Dispatched</v>
      </c>
      <c r="L255" s="17" t="str">
        <f>IF(TRIM(Raw_Data!L255)="","",PROPER(TRIM(Raw_Data!L255)))</f>
        <v>Quartermaster</v>
      </c>
      <c r="M255" s="22">
        <f>IF(Raw_Data!M255="","",IF(ISNUMBER(Raw_Data!M255),Raw_Data!M255,IF(ISNUMBER(SEARCH("/",Raw_Data!M255)),IFERROR(DATE(VALUE(RIGHT(Raw_Data!M255,4)),VALUE(MID(Raw_Data!M255,4,2)),VALUE(LEFT(Raw_Data!M255,2))),"Invalid Date"),IFERROR(DATEVALUE(Raw_Data!M255),"Invalid Date"))))</f>
        <v>45926</v>
      </c>
      <c r="N255" s="22">
        <f>IF(Raw_Data!N255="","",IF(ISNUMBER(Raw_Data!N255),Raw_Data!N255,IF(ISNUMBER(SEARCH("/",Raw_Data!N255)),IFERROR(DATE(VALUE(RIGHT(Raw_Data!N255,4)),VALUE(MID(Raw_Data!N255,4,2)),VALUE(LEFT(Raw_Data!N255,2))),"Invalid Date"),IFERROR(DATEVALUE(Raw_Data!N255),"Invalid Date"))))</f>
        <v>45955</v>
      </c>
      <c r="O255" s="22" t="str">
        <f>IF(Raw_Data!O255="","",IF(ISNUMBER(Raw_Data!O255),Raw_Data!O255,IF(ISNUMBER(SEARCH("/",Raw_Data!O255)),IFERROR(DATE(VALUE(RIGHT(Raw_Data!O255,4)),VALUE(MID(Raw_Data!O255,4,2)),VALUE(LEFT(Raw_Data!O255,2))),"Invalid Date"),IFERROR(DATEVALUE(Raw_Data!O255),"Invalid Date"))))</f>
        <v/>
      </c>
      <c r="P255" s="17" t="str">
        <f>IF(OR(TRIM(Raw_Data!P255)="",TRIM(Raw_Data!P255)="N/A",TRIM(Raw_Data!P255)="TBD",TRIM(Raw_Data!P255)="-"),"Not Assigned",PROPER(TRIM(Raw_Data!P255)))</f>
        <v>Vikram Enterprises</v>
      </c>
      <c r="Q255" s="24" t="str">
        <f t="shared" si="18"/>
        <v/>
      </c>
      <c r="R255" s="17" t="str">
        <f t="shared" si="19"/>
        <v/>
      </c>
      <c r="S255" s="17" t="str">
        <f>IF(COUNTIF($A$2:A255,A255)&gt;1,"Duplicate","Unique")</f>
        <v>Unique</v>
      </c>
      <c r="T255" s="17" t="str">
        <f t="shared" si="20"/>
        <v>No</v>
      </c>
      <c r="U255" s="17" t="str">
        <f t="shared" si="21"/>
        <v>No</v>
      </c>
      <c r="V255" s="17" t="str">
        <f t="shared" si="22"/>
        <v>No</v>
      </c>
      <c r="W255" s="17" t="str">
        <f t="shared" si="23"/>
        <v>Sep-2025</v>
      </c>
    </row>
    <row r="256" spans="1:23" x14ac:dyDescent="0.3">
      <c r="A256" s="17" t="str">
        <f>TRIM(Raw_Data!A256)</f>
        <v>REQ-2025-0255</v>
      </c>
      <c r="B256" s="22">
        <f>IF(Raw_Data!B256="","",IF(ISNUMBER(Raw_Data!B256),Raw_Data!B256,IF(ISNUMBER(SEARCH("/",Raw_Data!B256)),IFERROR(DATE(VALUE(RIGHT(Raw_Data!B256,4)),VALUE(MID(Raw_Data!B256,4,2)),VALUE(LEFT(Raw_Data!B256,2))),"Invalid Date"),IFERROR(DATEVALUE(Raw_Data!B256),"Invalid Date"))))</f>
        <v>45833</v>
      </c>
      <c r="C256" s="17" t="str">
        <f>IF(TRIM(Raw_Data!C256)="","",PROPER(TRIM(Raw_Data!C256)))</f>
        <v>Unit E - Medical Corps</v>
      </c>
      <c r="D256" s="17" t="str">
        <f>IF(TRIM(Raw_Data!D256)="","Not Specified",IFERROR(INDEX(Lookup_Tables!$H$6:$H$12,MATCH(TRIM(Raw_Data!D256),Lookup_Tables!$G$6:$G$12,0)),"Unknown - Review"))</f>
        <v>Central</v>
      </c>
      <c r="E256" s="17" t="str">
        <f>IF(TRIM(Raw_Data!E256)="","Not Specified",IFERROR(INDEX(Lookup_Tables!$B$6:$B$18,MATCH(TRIM(Raw_Data!E256),Lookup_Tables!$A$6:$A$18,0)),"Unknown - Review"))</f>
        <v>Medical Supplies</v>
      </c>
      <c r="F256" s="17" t="str">
        <f>IF(TRIM(Raw_Data!F256)="","",TRIM(Raw_Data!F256))</f>
        <v>Bandage Roll (Pack)</v>
      </c>
      <c r="G256" s="17">
        <f>IF(Raw_Data!G256="","",IF(VALUE(Raw_Data!G256)&lt;=0,"Invalid",VALUE(Raw_Data!G256)))</f>
        <v>415</v>
      </c>
      <c r="H256" s="17">
        <f>IF(Raw_Data!H256="","",IF(VALUE(Raw_Data!H256)&lt;=0,"Invalid",VALUE(Raw_Data!H256)))</f>
        <v>366</v>
      </c>
      <c r="I256" s="23">
        <f>IFERROR(VALUE(SUBSTITUTE(SUBSTITUTE(Raw_Data!I256,"₹",""),",","")),"")</f>
        <v>17259.64</v>
      </c>
      <c r="J256" s="17" t="str">
        <f>IF(TRIM(Raw_Data!J256)="","Not Specified",PROPER(TRIM(Raw_Data!J256)))</f>
        <v>High</v>
      </c>
      <c r="K256" s="17" t="str">
        <f>IF(TRIM(Raw_Data!K256)="","Not Specified",IFERROR(INDEX(Lookup_Tables!$E$6:$E$13,MATCH(TRIM(Raw_Data!K256),Lookup_Tables!$D$6:$D$13,0)),"Unknown - Review"))</f>
        <v>Approved</v>
      </c>
      <c r="L256" s="17" t="str">
        <f>IF(TRIM(Raw_Data!L256)="","",PROPER(TRIM(Raw_Data!L256)))</f>
        <v>Logistics Officer</v>
      </c>
      <c r="M256" s="22">
        <f>IF(Raw_Data!M256="","",IF(ISNUMBER(Raw_Data!M256),Raw_Data!M256,IF(ISNUMBER(SEARCH("/",Raw_Data!M256)),IFERROR(DATE(VALUE(RIGHT(Raw_Data!M256,4)),VALUE(MID(Raw_Data!M256,4,2)),VALUE(LEFT(Raw_Data!M256,2))),"Invalid Date"),IFERROR(DATEVALUE(Raw_Data!M256),"Invalid Date"))))</f>
        <v>45839</v>
      </c>
      <c r="N256" s="22">
        <f>IF(Raw_Data!N256="","",IF(ISNUMBER(Raw_Data!N256),Raw_Data!N256,IF(ISNUMBER(SEARCH("/",Raw_Data!N256)),IFERROR(DATE(VALUE(RIGHT(Raw_Data!N256,4)),VALUE(MID(Raw_Data!N256,4,2)),VALUE(LEFT(Raw_Data!N256,2))),"Invalid Date"),IFERROR(DATEVALUE(Raw_Data!N256),"Invalid Date"))))</f>
        <v>45849</v>
      </c>
      <c r="O256" s="22" t="str">
        <f>IF(Raw_Data!O256="","",IF(ISNUMBER(Raw_Data!O256),Raw_Data!O256,IF(ISNUMBER(SEARCH("/",Raw_Data!O256)),IFERROR(DATE(VALUE(RIGHT(Raw_Data!O256,4)),VALUE(MID(Raw_Data!O256,4,2)),VALUE(LEFT(Raw_Data!O256,2))),"Invalid Date"),IFERROR(DATEVALUE(Raw_Data!O256),"Invalid Date"))))</f>
        <v/>
      </c>
      <c r="P256" s="17" t="str">
        <f>IF(OR(TRIM(Raw_Data!P256)="",TRIM(Raw_Data!P256)="N/A",TRIM(Raw_Data!P256)="TBD",TRIM(Raw_Data!P256)="-"),"Not Assigned",PROPER(TRIM(Raw_Data!P256)))</f>
        <v>Central Ordnance Suppliers</v>
      </c>
      <c r="Q256" s="24">
        <f t="shared" si="18"/>
        <v>6317028.2400000002</v>
      </c>
      <c r="R256" s="17" t="str">
        <f t="shared" si="19"/>
        <v/>
      </c>
      <c r="S256" s="17" t="str">
        <f>IF(COUNTIF($A$2:A256,A256)&gt;1,"Duplicate","Unique")</f>
        <v>Unique</v>
      </c>
      <c r="T256" s="17" t="str">
        <f t="shared" si="20"/>
        <v>No</v>
      </c>
      <c r="U256" s="17" t="str">
        <f t="shared" si="21"/>
        <v>No</v>
      </c>
      <c r="V256" s="17" t="str">
        <f t="shared" si="22"/>
        <v>Yes</v>
      </c>
      <c r="W256" s="17" t="str">
        <f t="shared" si="23"/>
        <v>Jun-2025</v>
      </c>
    </row>
    <row r="257" spans="1:23" x14ac:dyDescent="0.3">
      <c r="A257" s="17" t="str">
        <f>TRIM(Raw_Data!A257)</f>
        <v>REQ-2025-0256</v>
      </c>
      <c r="B257" s="22">
        <f>IF(Raw_Data!B257="","",IF(ISNUMBER(Raw_Data!B257),Raw_Data!B257,IF(ISNUMBER(SEARCH("/",Raw_Data!B257)),IFERROR(DATE(VALUE(RIGHT(Raw_Data!B257,4)),VALUE(MID(Raw_Data!B257,4,2)),VALUE(LEFT(Raw_Data!B257,2))),"Invalid Date"),IFERROR(DATEVALUE(Raw_Data!B257),"Invalid Date"))))</f>
        <v>45804</v>
      </c>
      <c r="C257" s="17" t="str">
        <f>IF(TRIM(Raw_Data!C257)="","",PROPER(TRIM(Raw_Data!C257)))</f>
        <v>Unit G - Transport Corps</v>
      </c>
      <c r="D257" s="17" t="str">
        <f>IF(TRIM(Raw_Data!D257)="","Not Specified",IFERROR(INDEX(Lookup_Tables!$H$6:$H$12,MATCH(TRIM(Raw_Data!D257),Lookup_Tables!$G$6:$G$12,0)),"Unknown - Review"))</f>
        <v>Southern</v>
      </c>
      <c r="E257" s="17" t="str">
        <f>IF(TRIM(Raw_Data!E257)="","Not Specified",IFERROR(INDEX(Lookup_Tables!$B$6:$B$18,MATCH(TRIM(Raw_Data!E257),Lookup_Tables!$A$6:$A$18,0)),"Unknown - Review"))</f>
        <v>Medical Supplies</v>
      </c>
      <c r="F257" s="17" t="str">
        <f>IF(TRIM(Raw_Data!F257)="","",TRIM(Raw_Data!F257))</f>
        <v>Bandage Roll (Pack)</v>
      </c>
      <c r="G257" s="17">
        <f>IF(Raw_Data!G257="","",IF(VALUE(Raw_Data!G257)&lt;=0,"Invalid",VALUE(Raw_Data!G257)))</f>
        <v>446</v>
      </c>
      <c r="H257" s="17">
        <f>IF(Raw_Data!H257="","",IF(VALUE(Raw_Data!H257)&lt;=0,"Invalid",VALUE(Raw_Data!H257)))</f>
        <v>442</v>
      </c>
      <c r="I257" s="23">
        <f>IFERROR(VALUE(SUBSTITUTE(SUBSTITUTE(Raw_Data!I257,"₹",""),",","")),"")</f>
        <v>18011.259999999998</v>
      </c>
      <c r="J257" s="17" t="str">
        <f>IF(TRIM(Raw_Data!J257)="","Not Specified",PROPER(TRIM(Raw_Data!J257)))</f>
        <v>Medium</v>
      </c>
      <c r="K257" s="17" t="str">
        <f>IF(TRIM(Raw_Data!K257)="","Not Specified",IFERROR(INDEX(Lookup_Tables!$E$6:$E$13,MATCH(TRIM(Raw_Data!K257),Lookup_Tables!$D$6:$D$13,0)),"Unknown - Review"))</f>
        <v>Dispatched</v>
      </c>
      <c r="L257" s="17" t="str">
        <f>IF(TRIM(Raw_Data!L257)="","",PROPER(TRIM(Raw_Data!L257)))</f>
        <v>Stores Officer</v>
      </c>
      <c r="M257" s="22">
        <f>IF(Raw_Data!M257="","",IF(ISNUMBER(Raw_Data!M257),Raw_Data!M257,IF(ISNUMBER(SEARCH("/",Raw_Data!M257)),IFERROR(DATE(VALUE(RIGHT(Raw_Data!M257,4)),VALUE(MID(Raw_Data!M257,4,2)),VALUE(LEFT(Raw_Data!M257,2))),"Invalid Date"),IFERROR(DATEVALUE(Raw_Data!M257),"Invalid Date"))))</f>
        <v>45807</v>
      </c>
      <c r="N257" s="22">
        <f>IF(Raw_Data!N257="","",IF(ISNUMBER(Raw_Data!N257),Raw_Data!N257,IF(ISNUMBER(SEARCH("/",Raw_Data!N257)),IFERROR(DATE(VALUE(RIGHT(Raw_Data!N257,4)),VALUE(MID(Raw_Data!N257,4,2)),VALUE(LEFT(Raw_Data!N257,2))),"Invalid Date"),IFERROR(DATEVALUE(Raw_Data!N257),"Invalid Date"))))</f>
        <v>45827</v>
      </c>
      <c r="O257" s="22" t="str">
        <f>IF(Raw_Data!O257="","",IF(ISNUMBER(Raw_Data!O257),Raw_Data!O257,IF(ISNUMBER(SEARCH("/",Raw_Data!O257)),IFERROR(DATE(VALUE(RIGHT(Raw_Data!O257,4)),VALUE(MID(Raw_Data!O257,4,2)),VALUE(LEFT(Raw_Data!O257,2))),"Invalid Date"),IFERROR(DATEVALUE(Raw_Data!O257),"Invalid Date"))))</f>
        <v/>
      </c>
      <c r="P257" s="17" t="str">
        <f>IF(OR(TRIM(Raw_Data!P257)="",TRIM(Raw_Data!P257)="N/A",TRIM(Raw_Data!P257)="TBD",TRIM(Raw_Data!P257)="-"),"Not Assigned",PROPER(TRIM(Raw_Data!P257)))</f>
        <v>Central Ordnance Suppliers</v>
      </c>
      <c r="Q257" s="24">
        <f t="shared" si="18"/>
        <v>7960976.919999999</v>
      </c>
      <c r="R257" s="17" t="str">
        <f t="shared" si="19"/>
        <v/>
      </c>
      <c r="S257" s="17" t="str">
        <f>IF(COUNTIF($A$2:A257,A257)&gt;1,"Duplicate","Unique")</f>
        <v>Unique</v>
      </c>
      <c r="T257" s="17" t="str">
        <f t="shared" si="20"/>
        <v>No</v>
      </c>
      <c r="U257" s="17" t="str">
        <f t="shared" si="21"/>
        <v>No</v>
      </c>
      <c r="V257" s="17" t="str">
        <f t="shared" si="22"/>
        <v>Yes</v>
      </c>
      <c r="W257" s="17" t="str">
        <f t="shared" si="23"/>
        <v>May-2025</v>
      </c>
    </row>
    <row r="258" spans="1:23" x14ac:dyDescent="0.3">
      <c r="A258" s="17" t="str">
        <f>TRIM(Raw_Data!A258)</f>
        <v>REQ-2025-0257</v>
      </c>
      <c r="B258" s="22">
        <f>IF(Raw_Data!B258="","",IF(ISNUMBER(Raw_Data!B258),Raw_Data!B258,IF(ISNUMBER(SEARCH("/",Raw_Data!B258)),IFERROR(DATE(VALUE(RIGHT(Raw_Data!B258,4)),VALUE(MID(Raw_Data!B258,4,2)),VALUE(LEFT(Raw_Data!B258,2))),"Invalid Date"),IFERROR(DATEVALUE(Raw_Data!B258),"Invalid Date"))))</f>
        <v>45758</v>
      </c>
      <c r="C258" s="17" t="str">
        <f>IF(TRIM(Raw_Data!C258)="","",PROPER(TRIM(Raw_Data!C258)))</f>
        <v>Unit H - Air Defence</v>
      </c>
      <c r="D258" s="17" t="str">
        <f>IF(TRIM(Raw_Data!D258)="","Not Specified",IFERROR(INDEX(Lookup_Tables!$H$6:$H$12,MATCH(TRIM(Raw_Data!D258),Lookup_Tables!$G$6:$G$12,0)),"Unknown - Review"))</f>
        <v>Eastern</v>
      </c>
      <c r="E258" s="17" t="str">
        <f>IF(TRIM(Raw_Data!E258)="","Not Specified",IFERROR(INDEX(Lookup_Tables!$B$6:$B$18,MATCH(TRIM(Raw_Data!E258),Lookup_Tables!$A$6:$A$18,0)),"Unknown - Review"))</f>
        <v>Uniforms &amp; Clothing</v>
      </c>
      <c r="F258" s="17" t="str">
        <f>IF(TRIM(Raw_Data!F258)="","",TRIM(Raw_Data!F258))</f>
        <v>Rain Poncho</v>
      </c>
      <c r="G258" s="17">
        <f>IF(Raw_Data!G258="","",IF(VALUE(Raw_Data!G258)&lt;=0,"Invalid",VALUE(Raw_Data!G258)))</f>
        <v>11</v>
      </c>
      <c r="H258" s="17">
        <f>IF(Raw_Data!H258="","",IF(VALUE(Raw_Data!H258)&lt;=0,"Invalid",VALUE(Raw_Data!H258)))</f>
        <v>8</v>
      </c>
      <c r="I258" s="23">
        <f>IFERROR(VALUE(SUBSTITUTE(SUBSTITUTE(Raw_Data!I258,"₹",""),",","")),"")</f>
        <v>18294</v>
      </c>
      <c r="J258" s="17" t="str">
        <f>IF(TRIM(Raw_Data!J258)="","Not Specified",PROPER(TRIM(Raw_Data!J258)))</f>
        <v>Medium</v>
      </c>
      <c r="K258" s="17" t="str">
        <f>IF(TRIM(Raw_Data!K258)="","Not Specified",IFERROR(INDEX(Lookup_Tables!$E$6:$E$13,MATCH(TRIM(Raw_Data!K258),Lookup_Tables!$D$6:$D$13,0)),"Unknown - Review"))</f>
        <v>Approved</v>
      </c>
      <c r="L258" s="17" t="str">
        <f>IF(TRIM(Raw_Data!L258)="","",PROPER(TRIM(Raw_Data!L258)))</f>
        <v>Quartermaster</v>
      </c>
      <c r="M258" s="22">
        <f>IF(Raw_Data!M258="","",IF(ISNUMBER(Raw_Data!M258),Raw_Data!M258,IF(ISNUMBER(SEARCH("/",Raw_Data!M258)),IFERROR(DATE(VALUE(RIGHT(Raw_Data!M258,4)),VALUE(MID(Raw_Data!M258,4,2)),VALUE(LEFT(Raw_Data!M258,2))),"Invalid Date"),IFERROR(DATEVALUE(Raw_Data!M258),"Invalid Date"))))</f>
        <v>45765</v>
      </c>
      <c r="N258" s="22">
        <f>IF(Raw_Data!N258="","",IF(ISNUMBER(Raw_Data!N258),Raw_Data!N258,IF(ISNUMBER(SEARCH("/",Raw_Data!N258)),IFERROR(DATE(VALUE(RIGHT(Raw_Data!N258,4)),VALUE(MID(Raw_Data!N258,4,2)),VALUE(LEFT(Raw_Data!N258,2))),"Invalid Date"),IFERROR(DATEVALUE(Raw_Data!N258),"Invalid Date"))))</f>
        <v>45782</v>
      </c>
      <c r="O258" s="22" t="str">
        <f>IF(Raw_Data!O258="","",IF(ISNUMBER(Raw_Data!O258),Raw_Data!O258,IF(ISNUMBER(SEARCH("/",Raw_Data!O258)),IFERROR(DATE(VALUE(RIGHT(Raw_Data!O258,4)),VALUE(MID(Raw_Data!O258,4,2)),VALUE(LEFT(Raw_Data!O258,2))),"Invalid Date"),IFERROR(DATEVALUE(Raw_Data!O258),"Invalid Date"))))</f>
        <v/>
      </c>
      <c r="P258" s="17" t="str">
        <f>IF(OR(TRIM(Raw_Data!P258)="",TRIM(Raw_Data!P258)="N/A",TRIM(Raw_Data!P258)="TBD",TRIM(Raw_Data!P258)="-"),"Not Assigned",PROPER(TRIM(Raw_Data!P258)))</f>
        <v>Om Suppliers</v>
      </c>
      <c r="Q258" s="24">
        <f t="shared" ref="Q258:Q301" si="24">IF(OR(H258="",I258="",NOT(ISNUMBER(H258)),NOT(ISNUMBER(I258))),"",H258*I258)</f>
        <v>146352</v>
      </c>
      <c r="R258" s="17" t="str">
        <f t="shared" ref="R258:R301" si="25">IF(AND(ISNUMBER(O258),ISNUMBER(N258)),O258-N258,"")</f>
        <v/>
      </c>
      <c r="S258" s="17" t="str">
        <f>IF(COUNTIF($A$2:A258,A258)&gt;1,"Duplicate","Unique")</f>
        <v>Unique</v>
      </c>
      <c r="T258" s="17" t="str">
        <f t="shared" ref="T258:T301" si="26">IF(OR(G258="",K258="Not Specified",C258=""),"Yes","No")</f>
        <v>No</v>
      </c>
      <c r="U258" s="17" t="str">
        <f t="shared" ref="U258:U301" si="27">IF(OR(AND(ISNUMBER(H258),ISNUMBER(G258),H258&gt;G258),AND(K258="Rejected",ISNUMBER(H258),H258&gt;0)),"Yes","No")</f>
        <v>No</v>
      </c>
      <c r="V258" s="17" t="str">
        <f t="shared" ref="V258:V321" si="28">IF(AND(S258="Unique",T258="No",U258="No",G258&lt;&gt;"Invalid",H258&lt;&gt;"Invalid"),"Yes","No")</f>
        <v>Yes</v>
      </c>
      <c r="W258" s="17" t="str">
        <f t="shared" ref="W258:W301" si="29">IF(ISNUMBER(B258),TEXT(B258,"MMM-YYYY"),"")</f>
        <v>Apr-2025</v>
      </c>
    </row>
    <row r="259" spans="1:23" x14ac:dyDescent="0.3">
      <c r="A259" s="17" t="str">
        <f>TRIM(Raw_Data!A259)</f>
        <v>REQ-2025-0258</v>
      </c>
      <c r="B259" s="22">
        <f>IF(Raw_Data!B259="","",IF(ISNUMBER(Raw_Data!B259),Raw_Data!B259,IF(ISNUMBER(SEARCH("/",Raw_Data!B259)),IFERROR(DATE(VALUE(RIGHT(Raw_Data!B259,4)),VALUE(MID(Raw_Data!B259,4,2)),VALUE(LEFT(Raw_Data!B259,2))),"Invalid Date"),IFERROR(DATEVALUE(Raw_Data!B259),"Invalid Date"))))</f>
        <v>45782</v>
      </c>
      <c r="C259" s="17" t="str">
        <f>IF(TRIM(Raw_Data!C259)="","",PROPER(TRIM(Raw_Data!C259)))</f>
        <v>Unit A - Infantry</v>
      </c>
      <c r="D259" s="17" t="str">
        <f>IF(TRIM(Raw_Data!D259)="","Not Specified",IFERROR(INDEX(Lookup_Tables!$H$6:$H$12,MATCH(TRIM(Raw_Data!D259),Lookup_Tables!$G$6:$G$12,0)),"Unknown - Review"))</f>
        <v>Northern</v>
      </c>
      <c r="E259" s="17" t="str">
        <f>IF(TRIM(Raw_Data!E259)="","Not Specified",IFERROR(INDEX(Lookup_Tables!$B$6:$B$18,MATCH(TRIM(Raw_Data!E259),Lookup_Tables!$A$6:$A$18,0)),"Unknown - Review"))</f>
        <v>Construction Material</v>
      </c>
      <c r="F259" s="17" t="str">
        <f>IF(TRIM(Raw_Data!F259)="","",TRIM(Raw_Data!F259))</f>
        <v>Steel Rod Bundle</v>
      </c>
      <c r="G259" s="17">
        <f>IF(Raw_Data!G259="","",IF(VALUE(Raw_Data!G259)&lt;=0,"Invalid",VALUE(Raw_Data!G259)))</f>
        <v>362</v>
      </c>
      <c r="H259" s="17">
        <f>IF(Raw_Data!H259="","",IF(VALUE(Raw_Data!H259)&lt;=0,"Invalid",VALUE(Raw_Data!H259)))</f>
        <v>319</v>
      </c>
      <c r="I259" s="23">
        <f>IFERROR(VALUE(SUBSTITUTE(SUBSTITUTE(Raw_Data!I259,"₹",""),",","")),"")</f>
        <v>42500.3</v>
      </c>
      <c r="J259" s="17" t="str">
        <f>IF(TRIM(Raw_Data!J259)="","Not Specified",PROPER(TRIM(Raw_Data!J259)))</f>
        <v>Low</v>
      </c>
      <c r="K259" s="17" t="str">
        <f>IF(TRIM(Raw_Data!K259)="","Not Specified",IFERROR(INDEX(Lookup_Tables!$E$6:$E$13,MATCH(TRIM(Raw_Data!K259),Lookup_Tables!$D$6:$D$13,0)),"Unknown - Review"))</f>
        <v>Dispatched</v>
      </c>
      <c r="L259" s="17" t="str">
        <f>IF(TRIM(Raw_Data!L259)="","",PROPER(TRIM(Raw_Data!L259)))</f>
        <v>Quartermaster</v>
      </c>
      <c r="M259" s="22">
        <f>IF(Raw_Data!M259="","",IF(ISNUMBER(Raw_Data!M259),Raw_Data!M259,IF(ISNUMBER(SEARCH("/",Raw_Data!M259)),IFERROR(DATE(VALUE(RIGHT(Raw_Data!M259,4)),VALUE(MID(Raw_Data!M259,4,2)),VALUE(LEFT(Raw_Data!M259,2))),"Invalid Date"),IFERROR(DATEVALUE(Raw_Data!M259),"Invalid Date"))))</f>
        <v>45785</v>
      </c>
      <c r="N259" s="22">
        <f>IF(Raw_Data!N259="","",IF(ISNUMBER(Raw_Data!N259),Raw_Data!N259,IF(ISNUMBER(SEARCH("/",Raw_Data!N259)),IFERROR(DATE(VALUE(RIGHT(Raw_Data!N259,4)),VALUE(MID(Raw_Data!N259,4,2)),VALUE(LEFT(Raw_Data!N259,2))),"Invalid Date"),IFERROR(DATEVALUE(Raw_Data!N259),"Invalid Date"))))</f>
        <v>45798</v>
      </c>
      <c r="O259" s="22" t="str">
        <f>IF(Raw_Data!O259="","",IF(ISNUMBER(Raw_Data!O259),Raw_Data!O259,IF(ISNUMBER(SEARCH("/",Raw_Data!O259)),IFERROR(DATE(VALUE(RIGHT(Raw_Data!O259,4)),VALUE(MID(Raw_Data!O259,4,2)),VALUE(LEFT(Raw_Data!O259,2))),"Invalid Date"),IFERROR(DATEVALUE(Raw_Data!O259),"Invalid Date"))))</f>
        <v/>
      </c>
      <c r="P259" s="17" t="str">
        <f>IF(OR(TRIM(Raw_Data!P259)="",TRIM(Raw_Data!P259)="N/A",TRIM(Raw_Data!P259)="TBD",TRIM(Raw_Data!P259)="-"),"Not Assigned",PROPER(TRIM(Raw_Data!P259)))</f>
        <v>Vikram Enterprises</v>
      </c>
      <c r="Q259" s="24">
        <f t="shared" si="24"/>
        <v>13557595.700000001</v>
      </c>
      <c r="R259" s="17" t="str">
        <f t="shared" si="25"/>
        <v/>
      </c>
      <c r="S259" s="17" t="str">
        <f>IF(COUNTIF($A$2:A259,A259)&gt;1,"Duplicate","Unique")</f>
        <v>Unique</v>
      </c>
      <c r="T259" s="17" t="str">
        <f t="shared" si="26"/>
        <v>No</v>
      </c>
      <c r="U259" s="17" t="str">
        <f t="shared" si="27"/>
        <v>No</v>
      </c>
      <c r="V259" s="17" t="str">
        <f t="shared" si="28"/>
        <v>Yes</v>
      </c>
      <c r="W259" s="17" t="str">
        <f t="shared" si="29"/>
        <v>May-2025</v>
      </c>
    </row>
    <row r="260" spans="1:23" x14ac:dyDescent="0.3">
      <c r="A260" s="17" t="str">
        <f>TRIM(Raw_Data!A260)</f>
        <v>REQ-2025-0259</v>
      </c>
      <c r="B260" s="22" t="str">
        <f>IF(Raw_Data!B260="","",IF(ISNUMBER(Raw_Data!B260),Raw_Data!B260,IF(ISNUMBER(SEARCH("/",Raw_Data!B260)),IFERROR(DATE(VALUE(RIGHT(Raw_Data!B260,4)),VALUE(MID(Raw_Data!B260,4,2)),VALUE(LEFT(Raw_Data!B260,2))),"Invalid Date"),IFERROR(DATEVALUE(Raw_Data!B260),"Invalid Date"))))</f>
        <v/>
      </c>
      <c r="C260" s="17" t="str">
        <f>IF(TRIM(Raw_Data!C260)="","",PROPER(TRIM(Raw_Data!C260)))</f>
        <v>Unit G - Transport Corps</v>
      </c>
      <c r="D260" s="17" t="str">
        <f>IF(TRIM(Raw_Data!D260)="","Not Specified",IFERROR(INDEX(Lookup_Tables!$H$6:$H$12,MATCH(TRIM(Raw_Data!D260),Lookup_Tables!$G$6:$G$12,0)),"Unknown - Review"))</f>
        <v>Southern</v>
      </c>
      <c r="E260" s="17" t="str">
        <f>IF(TRIM(Raw_Data!E260)="","Not Specified",IFERROR(INDEX(Lookup_Tables!$B$6:$B$18,MATCH(TRIM(Raw_Data!E260),Lookup_Tables!$A$6:$A$18,0)),"Unknown - Review"))</f>
        <v>Construction Material</v>
      </c>
      <c r="F260" s="17" t="str">
        <f>IF(TRIM(Raw_Data!F260)="","",TRIM(Raw_Data!F260))</f>
        <v>Cement Bag (50kg)</v>
      </c>
      <c r="G260" s="17">
        <f>IF(Raw_Data!G260="","",IF(VALUE(Raw_Data!G260)&lt;=0,"Invalid",VALUE(Raw_Data!G260)))</f>
        <v>142</v>
      </c>
      <c r="H260" s="17">
        <f>IF(Raw_Data!H260="","",IF(VALUE(Raw_Data!H260)&lt;=0,"Invalid",VALUE(Raw_Data!H260)))</f>
        <v>116</v>
      </c>
      <c r="I260" s="23">
        <f>IFERROR(VALUE(SUBSTITUTE(SUBSTITUTE(Raw_Data!I260,"₹",""),",","")),"")</f>
        <v>13968</v>
      </c>
      <c r="J260" s="17" t="str">
        <f>IF(TRIM(Raw_Data!J260)="","Not Specified",PROPER(TRIM(Raw_Data!J260)))</f>
        <v>Low</v>
      </c>
      <c r="K260" s="17" t="str">
        <f>IF(TRIM(Raw_Data!K260)="","Not Specified",IFERROR(INDEX(Lookup_Tables!$E$6:$E$13,MATCH(TRIM(Raw_Data!K260),Lookup_Tables!$D$6:$D$13,0)),"Unknown - Review"))</f>
        <v>Dispatched</v>
      </c>
      <c r="L260" s="17" t="str">
        <f>IF(TRIM(Raw_Data!L260)="","",PROPER(TRIM(Raw_Data!L260)))</f>
        <v>Logistics Officer</v>
      </c>
      <c r="M260" s="22">
        <f>IF(Raw_Data!M260="","",IF(ISNUMBER(Raw_Data!M260),Raw_Data!M260,IF(ISNUMBER(SEARCH("/",Raw_Data!M260)),IFERROR(DATE(VALUE(RIGHT(Raw_Data!M260,4)),VALUE(MID(Raw_Data!M260,4,2)),VALUE(LEFT(Raw_Data!M260,2))),"Invalid Date"),IFERROR(DATEVALUE(Raw_Data!M260),"Invalid Date"))))</f>
        <v>45716</v>
      </c>
      <c r="N260" s="22">
        <f>IF(Raw_Data!N260="","",IF(ISNUMBER(Raw_Data!N260),Raw_Data!N260,IF(ISNUMBER(SEARCH("/",Raw_Data!N260)),IFERROR(DATE(VALUE(RIGHT(Raw_Data!N260,4)),VALUE(MID(Raw_Data!N260,4,2)),VALUE(LEFT(Raw_Data!N260,2))),"Invalid Date"),IFERROR(DATEVALUE(Raw_Data!N260),"Invalid Date"))))</f>
        <v>45736</v>
      </c>
      <c r="O260" s="22" t="str">
        <f>IF(Raw_Data!O260="","",IF(ISNUMBER(Raw_Data!O260),Raw_Data!O260,IF(ISNUMBER(SEARCH("/",Raw_Data!O260)),IFERROR(DATE(VALUE(RIGHT(Raw_Data!O260,4)),VALUE(MID(Raw_Data!O260,4,2)),VALUE(LEFT(Raw_Data!O260,2))),"Invalid Date"),IFERROR(DATEVALUE(Raw_Data!O260),"Invalid Date"))))</f>
        <v/>
      </c>
      <c r="P260" s="17" t="str">
        <f>IF(OR(TRIM(Raw_Data!P260)="",TRIM(Raw_Data!P260)="N/A",TRIM(Raw_Data!P260)="TBD",TRIM(Raw_Data!P260)="-"),"Not Assigned",PROPER(TRIM(Raw_Data!P260)))</f>
        <v>Bharat Logistics Pvt Ltd</v>
      </c>
      <c r="Q260" s="24">
        <f t="shared" si="24"/>
        <v>1620288</v>
      </c>
      <c r="R260" s="17" t="str">
        <f t="shared" si="25"/>
        <v/>
      </c>
      <c r="S260" s="17" t="str">
        <f>IF(COUNTIF($A$2:A260,A260)&gt;1,"Duplicate","Unique")</f>
        <v>Unique</v>
      </c>
      <c r="T260" s="17" t="str">
        <f t="shared" si="26"/>
        <v>No</v>
      </c>
      <c r="U260" s="17" t="str">
        <f t="shared" si="27"/>
        <v>No</v>
      </c>
      <c r="V260" s="17" t="str">
        <f t="shared" si="28"/>
        <v>Yes</v>
      </c>
      <c r="W260" s="17" t="str">
        <f t="shared" si="29"/>
        <v/>
      </c>
    </row>
    <row r="261" spans="1:23" x14ac:dyDescent="0.3">
      <c r="A261" s="17" t="str">
        <f>TRIM(Raw_Data!A261)</f>
        <v>REQ-2025-0260</v>
      </c>
      <c r="B261" s="22">
        <f>IF(Raw_Data!B261="","",IF(ISNUMBER(Raw_Data!B261),Raw_Data!B261,IF(ISNUMBER(SEARCH("/",Raw_Data!B261)),IFERROR(DATE(VALUE(RIGHT(Raw_Data!B261,4)),VALUE(MID(Raw_Data!B261,4,2)),VALUE(LEFT(Raw_Data!B261,2))),"Invalid Date"),IFERROR(DATEVALUE(Raw_Data!B261),"Invalid Date"))))</f>
        <v>45978</v>
      </c>
      <c r="C261" s="17" t="str">
        <f>IF(TRIM(Raw_Data!C261)="","",PROPER(TRIM(Raw_Data!C261)))</f>
        <v>Unit D - Signals</v>
      </c>
      <c r="D261" s="17" t="str">
        <f>IF(TRIM(Raw_Data!D261)="","Not Specified",IFERROR(INDEX(Lookup_Tables!$H$6:$H$12,MATCH(TRIM(Raw_Data!D261),Lookup_Tables!$G$6:$G$12,0)),"Unknown - Review"))</f>
        <v>Western</v>
      </c>
      <c r="E261" s="17" t="str">
        <f>IF(TRIM(Raw_Data!E261)="","Not Specified",IFERROR(INDEX(Lookup_Tables!$B$6:$B$18,MATCH(TRIM(Raw_Data!E261),Lookup_Tables!$A$6:$A$18,0)),"Unknown - Review"))</f>
        <v>Construction Material</v>
      </c>
      <c r="F261" s="17" t="str">
        <f>IF(TRIM(Raw_Data!F261)="","",TRIM(Raw_Data!F261))</f>
        <v>Timber Plank Set</v>
      </c>
      <c r="G261" s="17">
        <f>IF(Raw_Data!G261="","",IF(VALUE(Raw_Data!G261)&lt;=0,"Invalid",VALUE(Raw_Data!G261)))</f>
        <v>45</v>
      </c>
      <c r="H261" s="17">
        <f>IF(Raw_Data!H261="","",IF(VALUE(Raw_Data!H261)&lt;=0,"Invalid",VALUE(Raw_Data!H261)))</f>
        <v>35</v>
      </c>
      <c r="I261" s="23">
        <f>IFERROR(VALUE(SUBSTITUTE(SUBSTITUTE(Raw_Data!I261,"₹",""),",","")),"")</f>
        <v>15496</v>
      </c>
      <c r="J261" s="17" t="str">
        <f>IF(TRIM(Raw_Data!J261)="","Not Specified",PROPER(TRIM(Raw_Data!J261)))</f>
        <v>High</v>
      </c>
      <c r="K261" s="17" t="str">
        <f>IF(TRIM(Raw_Data!K261)="","Not Specified",IFERROR(INDEX(Lookup_Tables!$E$6:$E$13,MATCH(TRIM(Raw_Data!K261),Lookup_Tables!$D$6:$D$13,0)),"Unknown - Review"))</f>
        <v>Delivered</v>
      </c>
      <c r="L261" s="17" t="str">
        <f>IF(TRIM(Raw_Data!L261)="","",PROPER(TRIM(Raw_Data!L261)))</f>
        <v>Logistics Officer</v>
      </c>
      <c r="M261" s="22">
        <f>IF(Raw_Data!M261="","",IF(ISNUMBER(Raw_Data!M261),Raw_Data!M261,IF(ISNUMBER(SEARCH("/",Raw_Data!M261)),IFERROR(DATE(VALUE(RIGHT(Raw_Data!M261,4)),VALUE(MID(Raw_Data!M261,4,2)),VALUE(LEFT(Raw_Data!M261,2))),"Invalid Date"),IFERROR(DATEVALUE(Raw_Data!M261),"Invalid Date"))))</f>
        <v>45988</v>
      </c>
      <c r="N261" s="22">
        <f>IF(Raw_Data!N261="","",IF(ISNUMBER(Raw_Data!N261),Raw_Data!N261,IF(ISNUMBER(SEARCH("/",Raw_Data!N261)),IFERROR(DATE(VALUE(RIGHT(Raw_Data!N261,4)),VALUE(MID(Raw_Data!N261,4,2)),VALUE(LEFT(Raw_Data!N261,2))),"Invalid Date"),IFERROR(DATEVALUE(Raw_Data!N261),"Invalid Date"))))</f>
        <v>46000</v>
      </c>
      <c r="O261" s="22">
        <f>IF(Raw_Data!O261="","",IF(ISNUMBER(Raw_Data!O261),Raw_Data!O261,IF(ISNUMBER(SEARCH("/",Raw_Data!O261)),IFERROR(DATE(VALUE(RIGHT(Raw_Data!O261,4)),VALUE(MID(Raw_Data!O261,4,2)),VALUE(LEFT(Raw_Data!O261,2))),"Invalid Date"),IFERROR(DATEVALUE(Raw_Data!O261),"Invalid Date"))))</f>
        <v>46010</v>
      </c>
      <c r="P261" s="17" t="str">
        <f>IF(OR(TRIM(Raw_Data!P261)="",TRIM(Raw_Data!P261)="N/A",TRIM(Raw_Data!P261)="TBD",TRIM(Raw_Data!P261)="-"),"Not Assigned",PROPER(TRIM(Raw_Data!P261)))</f>
        <v>Central Ordnance Suppliers</v>
      </c>
      <c r="Q261" s="24">
        <f t="shared" si="24"/>
        <v>542360</v>
      </c>
      <c r="R261" s="17">
        <f t="shared" si="25"/>
        <v>10</v>
      </c>
      <c r="S261" s="17" t="str">
        <f>IF(COUNTIF($A$2:A261,A261)&gt;1,"Duplicate","Unique")</f>
        <v>Unique</v>
      </c>
      <c r="T261" s="17" t="str">
        <f t="shared" si="26"/>
        <v>No</v>
      </c>
      <c r="U261" s="17" t="str">
        <f t="shared" si="27"/>
        <v>No</v>
      </c>
      <c r="V261" s="17" t="str">
        <f t="shared" si="28"/>
        <v>Yes</v>
      </c>
      <c r="W261" s="17" t="str">
        <f t="shared" si="29"/>
        <v>Nov-2025</v>
      </c>
    </row>
    <row r="262" spans="1:23" x14ac:dyDescent="0.3">
      <c r="A262" s="17" t="str">
        <f>TRIM(Raw_Data!A262)</f>
        <v>REQ-2025-0261</v>
      </c>
      <c r="B262" s="22">
        <f>IF(Raw_Data!B262="","",IF(ISNUMBER(Raw_Data!B262),Raw_Data!B262,IF(ISNUMBER(SEARCH("/",Raw_Data!B262)),IFERROR(DATE(VALUE(RIGHT(Raw_Data!B262,4)),VALUE(MID(Raw_Data!B262,4,2)),VALUE(LEFT(Raw_Data!B262,2))),"Invalid Date"),IFERROR(DATEVALUE(Raw_Data!B262),"Invalid Date"))))</f>
        <v>45851</v>
      </c>
      <c r="C262" s="17" t="str">
        <f>IF(TRIM(Raw_Data!C262)="","",PROPER(TRIM(Raw_Data!C262)))</f>
        <v>Unit F - Ordnance Depot</v>
      </c>
      <c r="D262" s="17" t="str">
        <f>IF(TRIM(Raw_Data!D262)="","Not Specified",IFERROR(INDEX(Lookup_Tables!$H$6:$H$12,MATCH(TRIM(Raw_Data!D262),Lookup_Tables!$G$6:$G$12,0)),"Unknown - Review"))</f>
        <v>Northern</v>
      </c>
      <c r="E262" s="17" t="str">
        <f>IF(TRIM(Raw_Data!E262)="","Not Specified",IFERROR(INDEX(Lookup_Tables!$B$6:$B$18,MATCH(TRIM(Raw_Data!E262),Lookup_Tables!$A$6:$A$18,0)),"Unknown - Review"))</f>
        <v>Fuel &amp; Lubricants</v>
      </c>
      <c r="F262" s="17" t="str">
        <f>IF(TRIM(Raw_Data!F262)="","",TRIM(Raw_Data!F262))</f>
        <v>Hydraulic Fluid (20L)</v>
      </c>
      <c r="G262" s="17">
        <f>IF(Raw_Data!G262="","",IF(VALUE(Raw_Data!G262)&lt;=0,"Invalid",VALUE(Raw_Data!G262)))</f>
        <v>417</v>
      </c>
      <c r="H262" s="17">
        <f>IF(Raw_Data!H262="","",IF(VALUE(Raw_Data!H262)&lt;=0,"Invalid",VALUE(Raw_Data!H262)))</f>
        <v>379</v>
      </c>
      <c r="I262" s="23">
        <f>IFERROR(VALUE(SUBSTITUTE(SUBSTITUTE(Raw_Data!I262,"₹",""),",","")),"")</f>
        <v>32676.13</v>
      </c>
      <c r="J262" s="17" t="str">
        <f>IF(TRIM(Raw_Data!J262)="","Not Specified",PROPER(TRIM(Raw_Data!J262)))</f>
        <v>Low</v>
      </c>
      <c r="K262" s="17" t="str">
        <f>IF(TRIM(Raw_Data!K262)="","Not Specified",IFERROR(INDEX(Lookup_Tables!$E$6:$E$13,MATCH(TRIM(Raw_Data!K262),Lookup_Tables!$D$6:$D$13,0)),"Unknown - Review"))</f>
        <v>Dispatched</v>
      </c>
      <c r="L262" s="17" t="str">
        <f>IF(TRIM(Raw_Data!L262)="","",PROPER(TRIM(Raw_Data!L262)))</f>
        <v>Stores Officer</v>
      </c>
      <c r="M262" s="22" t="str">
        <f>IF(Raw_Data!M262="","",IF(ISNUMBER(Raw_Data!M262),Raw_Data!M262,IF(ISNUMBER(SEARCH("/",Raw_Data!M262)),IFERROR(DATE(VALUE(RIGHT(Raw_Data!M262,4)),VALUE(MID(Raw_Data!M262,4,2)),VALUE(LEFT(Raw_Data!M262,2))),"Invalid Date"),IFERROR(DATEVALUE(Raw_Data!M262),"Invalid Date"))))</f>
        <v/>
      </c>
      <c r="N262" s="22">
        <f>IF(Raw_Data!N262="","",IF(ISNUMBER(Raw_Data!N262),Raw_Data!N262,IF(ISNUMBER(SEARCH("/",Raw_Data!N262)),IFERROR(DATE(VALUE(RIGHT(Raw_Data!N262,4)),VALUE(MID(Raw_Data!N262,4,2)),VALUE(LEFT(Raw_Data!N262,2))),"Invalid Date"),IFERROR(DATEVALUE(Raw_Data!N262),"Invalid Date"))))</f>
        <v>45859</v>
      </c>
      <c r="O262" s="22" t="str">
        <f>IF(Raw_Data!O262="","",IF(ISNUMBER(Raw_Data!O262),Raw_Data!O262,IF(ISNUMBER(SEARCH("/",Raw_Data!O262)),IFERROR(DATE(VALUE(RIGHT(Raw_Data!O262,4)),VALUE(MID(Raw_Data!O262,4,2)),VALUE(LEFT(Raw_Data!O262,2))),"Invalid Date"),IFERROR(DATEVALUE(Raw_Data!O262),"Invalid Date"))))</f>
        <v/>
      </c>
      <c r="P262" s="17" t="str">
        <f>IF(OR(TRIM(Raw_Data!P262)="",TRIM(Raw_Data!P262)="N/A",TRIM(Raw_Data!P262)="TBD",TRIM(Raw_Data!P262)="-"),"Not Assigned",PROPER(TRIM(Raw_Data!P262)))</f>
        <v>Not Assigned</v>
      </c>
      <c r="Q262" s="24">
        <f t="shared" si="24"/>
        <v>12384253.27</v>
      </c>
      <c r="R262" s="17" t="str">
        <f t="shared" si="25"/>
        <v/>
      </c>
      <c r="S262" s="17" t="str">
        <f>IF(COUNTIF($A$2:A262,A262)&gt;1,"Duplicate","Unique")</f>
        <v>Unique</v>
      </c>
      <c r="T262" s="17" t="str">
        <f t="shared" si="26"/>
        <v>No</v>
      </c>
      <c r="U262" s="17" t="str">
        <f t="shared" si="27"/>
        <v>No</v>
      </c>
      <c r="V262" s="17" t="str">
        <f t="shared" si="28"/>
        <v>Yes</v>
      </c>
      <c r="W262" s="17" t="str">
        <f t="shared" si="29"/>
        <v>Jul-2025</v>
      </c>
    </row>
    <row r="263" spans="1:23" x14ac:dyDescent="0.3">
      <c r="A263" s="17" t="str">
        <f>TRIM(Raw_Data!A263)</f>
        <v>REQ-2025-0262</v>
      </c>
      <c r="B263" s="22">
        <f>IF(Raw_Data!B263="","",IF(ISNUMBER(Raw_Data!B263),Raw_Data!B263,IF(ISNUMBER(SEARCH("/",Raw_Data!B263)),IFERROR(DATE(VALUE(RIGHT(Raw_Data!B263,4)),VALUE(MID(Raw_Data!B263,4,2)),VALUE(LEFT(Raw_Data!B263,2))),"Invalid Date"),IFERROR(DATEVALUE(Raw_Data!B263),"Invalid Date"))))</f>
        <v>45971</v>
      </c>
      <c r="C263" s="17" t="str">
        <f>IF(TRIM(Raw_Data!C263)="","",PROPER(TRIM(Raw_Data!C263)))</f>
        <v>Unit H - Air Defence</v>
      </c>
      <c r="D263" s="17" t="str">
        <f>IF(TRIM(Raw_Data!D263)="","Not Specified",IFERROR(INDEX(Lookup_Tables!$H$6:$H$12,MATCH(TRIM(Raw_Data!D263),Lookup_Tables!$G$6:$G$12,0)),"Unknown - Review"))</f>
        <v>Eastern</v>
      </c>
      <c r="E263" s="17" t="str">
        <f>IF(TRIM(Raw_Data!E263)="","Not Specified",IFERROR(INDEX(Lookup_Tables!$B$6:$B$18,MATCH(TRIM(Raw_Data!E263),Lookup_Tables!$A$6:$A$18,0)),"Unknown - Review"))</f>
        <v>Office &amp; IT Equipment</v>
      </c>
      <c r="F263" s="17" t="str">
        <f>IF(TRIM(Raw_Data!F263)="","",TRIM(Raw_Data!F263))</f>
        <v>Filing Cabinet</v>
      </c>
      <c r="G263" s="17">
        <f>IF(Raw_Data!G263="","",IF(VALUE(Raw_Data!G263)&lt;=0,"Invalid",VALUE(Raw_Data!G263)))</f>
        <v>485</v>
      </c>
      <c r="H263" s="17">
        <f>IF(Raw_Data!H263="","",IF(VALUE(Raw_Data!H263)&lt;=0,"Invalid",VALUE(Raw_Data!H263)))</f>
        <v>483</v>
      </c>
      <c r="I263" s="23" t="str">
        <f>IFERROR(VALUE(SUBSTITUTE(SUBSTITUTE(Raw_Data!I263,"₹",""),",","")),"")</f>
        <v/>
      </c>
      <c r="J263" s="17" t="str">
        <f>IF(TRIM(Raw_Data!J263)="","Not Specified",PROPER(TRIM(Raw_Data!J263)))</f>
        <v>Low</v>
      </c>
      <c r="K263" s="17" t="str">
        <f>IF(TRIM(Raw_Data!K263)="","Not Specified",IFERROR(INDEX(Lookup_Tables!$E$6:$E$13,MATCH(TRIM(Raw_Data!K263),Lookup_Tables!$D$6:$D$13,0)),"Unknown - Review"))</f>
        <v>Delivered</v>
      </c>
      <c r="L263" s="17" t="str">
        <f>IF(TRIM(Raw_Data!L263)="","",PROPER(TRIM(Raw_Data!L263)))</f>
        <v>Unit Commander</v>
      </c>
      <c r="M263" s="22">
        <f>IF(Raw_Data!M263="","",IF(ISNUMBER(Raw_Data!M263),Raw_Data!M263,IF(ISNUMBER(SEARCH("/",Raw_Data!M263)),IFERROR(DATE(VALUE(RIGHT(Raw_Data!M263,4)),VALUE(MID(Raw_Data!M263,4,2)),VALUE(LEFT(Raw_Data!M263,2))),"Invalid Date"),IFERROR(DATEVALUE(Raw_Data!M263),"Invalid Date"))))</f>
        <v>45973</v>
      </c>
      <c r="N263" s="22">
        <f>IF(Raw_Data!N263="","",IF(ISNUMBER(Raw_Data!N263),Raw_Data!N263,IF(ISNUMBER(SEARCH("/",Raw_Data!N263)),IFERROR(DATE(VALUE(RIGHT(Raw_Data!N263,4)),VALUE(MID(Raw_Data!N263,4,2)),VALUE(LEFT(Raw_Data!N263,2))),"Invalid Date"),IFERROR(DATEVALUE(Raw_Data!N263),"Invalid Date"))))</f>
        <v>46001</v>
      </c>
      <c r="O263" s="22">
        <f>IF(Raw_Data!O263="","",IF(ISNUMBER(Raw_Data!O263),Raw_Data!O263,IF(ISNUMBER(SEARCH("/",Raw_Data!O263)),IFERROR(DATE(VALUE(RIGHT(Raw_Data!O263,4)),VALUE(MID(Raw_Data!O263,4,2)),VALUE(LEFT(Raw_Data!O263,2))),"Invalid Date"),IFERROR(DATEVALUE(Raw_Data!O263),"Invalid Date"))))</f>
        <v>46008</v>
      </c>
      <c r="P263" s="17" t="str">
        <f>IF(OR(TRIM(Raw_Data!P263)="",TRIM(Raw_Data!P263)="N/A",TRIM(Raw_Data!P263)="TBD",TRIM(Raw_Data!P263)="-"),"Not Assigned",PROPER(TRIM(Raw_Data!P263)))</f>
        <v>Shakti Traders</v>
      </c>
      <c r="Q263" s="24" t="str">
        <f t="shared" si="24"/>
        <v/>
      </c>
      <c r="R263" s="17">
        <f t="shared" si="25"/>
        <v>7</v>
      </c>
      <c r="S263" s="17" t="str">
        <f>IF(COUNTIF($A$2:A263,A263)&gt;1,"Duplicate","Unique")</f>
        <v>Unique</v>
      </c>
      <c r="T263" s="17" t="str">
        <f t="shared" si="26"/>
        <v>No</v>
      </c>
      <c r="U263" s="17" t="str">
        <f t="shared" si="27"/>
        <v>No</v>
      </c>
      <c r="V263" s="17" t="str">
        <f t="shared" si="28"/>
        <v>Yes</v>
      </c>
      <c r="W263" s="17" t="str">
        <f t="shared" si="29"/>
        <v>Nov-2025</v>
      </c>
    </row>
    <row r="264" spans="1:23" x14ac:dyDescent="0.3">
      <c r="A264" s="17" t="str">
        <f>TRIM(Raw_Data!A264)</f>
        <v>REQ-2025-0263</v>
      </c>
      <c r="B264" s="22">
        <f>IF(Raw_Data!B264="","",IF(ISNUMBER(Raw_Data!B264),Raw_Data!B264,IF(ISNUMBER(SEARCH("/",Raw_Data!B264)),IFERROR(DATE(VALUE(RIGHT(Raw_Data!B264,4)),VALUE(MID(Raw_Data!B264,4,2)),VALUE(LEFT(Raw_Data!B264,2))),"Invalid Date"),IFERROR(DATEVALUE(Raw_Data!B264),"Invalid Date"))))</f>
        <v>45880</v>
      </c>
      <c r="C264" s="17" t="str">
        <f>IF(TRIM(Raw_Data!C264)="","",PROPER(TRIM(Raw_Data!C264)))</f>
        <v>Unit C - Engineers</v>
      </c>
      <c r="D264" s="17" t="str">
        <f>IF(TRIM(Raw_Data!D264)="","Not Specified",IFERROR(INDEX(Lookup_Tables!$H$6:$H$12,MATCH(TRIM(Raw_Data!D264),Lookup_Tables!$G$6:$G$12,0)),"Unknown - Review"))</f>
        <v>Eastern</v>
      </c>
      <c r="E264" s="17" t="str">
        <f>IF(TRIM(Raw_Data!E264)="","Not Specified",IFERROR(INDEX(Lookup_Tables!$B$6:$B$18,MATCH(TRIM(Raw_Data!E264),Lookup_Tables!$A$6:$A$18,0)),"Unknown - Review"))</f>
        <v>Vehicle Spares</v>
      </c>
      <c r="F264" s="17" t="str">
        <f>IF(TRIM(Raw_Data!F264)="","",TRIM(Raw_Data!F264))</f>
        <v>Truck Tyre 900x20</v>
      </c>
      <c r="G264" s="17">
        <f>IF(Raw_Data!G264="","",IF(VALUE(Raw_Data!G264)&lt;=0,"Invalid",VALUE(Raw_Data!G264)))</f>
        <v>480</v>
      </c>
      <c r="H264" s="17">
        <f>IF(Raw_Data!H264="","",IF(VALUE(Raw_Data!H264)&lt;=0,"Invalid",VALUE(Raw_Data!H264)))</f>
        <v>446</v>
      </c>
      <c r="I264" s="23">
        <f>IFERROR(VALUE(SUBSTITUTE(SUBSTITUTE(Raw_Data!I264,"₹",""),",","")),"")</f>
        <v>10034</v>
      </c>
      <c r="J264" s="17" t="str">
        <f>IF(TRIM(Raw_Data!J264)="","Not Specified",PROPER(TRIM(Raw_Data!J264)))</f>
        <v>High</v>
      </c>
      <c r="K264" s="17" t="str">
        <f>IF(TRIM(Raw_Data!K264)="","Not Specified",IFERROR(INDEX(Lookup_Tables!$E$6:$E$13,MATCH(TRIM(Raw_Data!K264),Lookup_Tables!$D$6:$D$13,0)),"Unknown - Review"))</f>
        <v>Delivered</v>
      </c>
      <c r="L264" s="17" t="str">
        <f>IF(TRIM(Raw_Data!L264)="","",PROPER(TRIM(Raw_Data!L264)))</f>
        <v>Logistics Officer</v>
      </c>
      <c r="M264" s="22">
        <f>IF(Raw_Data!M264="","",IF(ISNUMBER(Raw_Data!M264),Raw_Data!M264,IF(ISNUMBER(SEARCH("/",Raw_Data!M264)),IFERROR(DATE(VALUE(RIGHT(Raw_Data!M264,4)),VALUE(MID(Raw_Data!M264,4,2)),VALUE(LEFT(Raw_Data!M264,2))),"Invalid Date"),IFERROR(DATEVALUE(Raw_Data!M264),"Invalid Date"))))</f>
        <v>45885</v>
      </c>
      <c r="N264" s="22">
        <f>IF(Raw_Data!N264="","",IF(ISNUMBER(Raw_Data!N264),Raw_Data!N264,IF(ISNUMBER(SEARCH("/",Raw_Data!N264)),IFERROR(DATE(VALUE(RIGHT(Raw_Data!N264,4)),VALUE(MID(Raw_Data!N264,4,2)),VALUE(LEFT(Raw_Data!N264,2))),"Invalid Date"),IFERROR(DATEVALUE(Raw_Data!N264),"Invalid Date"))))</f>
        <v>45911</v>
      </c>
      <c r="O264" s="22">
        <f>IF(Raw_Data!O264="","",IF(ISNUMBER(Raw_Data!O264),Raw_Data!O264,IF(ISNUMBER(SEARCH("/",Raw_Data!O264)),IFERROR(DATE(VALUE(RIGHT(Raw_Data!O264,4)),VALUE(MID(Raw_Data!O264,4,2)),VALUE(LEFT(Raw_Data!O264,2))),"Invalid Date"),IFERROR(DATEVALUE(Raw_Data!O264),"Invalid Date"))))</f>
        <v>45921</v>
      </c>
      <c r="P264" s="17" t="str">
        <f>IF(OR(TRIM(Raw_Data!P264)="",TRIM(Raw_Data!P264)="N/A",TRIM(Raw_Data!P264)="TBD",TRIM(Raw_Data!P264)="-"),"Not Assigned",PROPER(TRIM(Raw_Data!P264)))</f>
        <v>Sena Supply Co</v>
      </c>
      <c r="Q264" s="24">
        <f t="shared" si="24"/>
        <v>4475164</v>
      </c>
      <c r="R264" s="17">
        <f t="shared" si="25"/>
        <v>10</v>
      </c>
      <c r="S264" s="17" t="str">
        <f>IF(COUNTIF($A$2:A264,A264)&gt;1,"Duplicate","Unique")</f>
        <v>Unique</v>
      </c>
      <c r="T264" s="17" t="str">
        <f t="shared" si="26"/>
        <v>No</v>
      </c>
      <c r="U264" s="17" t="str">
        <f t="shared" si="27"/>
        <v>No</v>
      </c>
      <c r="V264" s="17" t="str">
        <f t="shared" si="28"/>
        <v>Yes</v>
      </c>
      <c r="W264" s="17" t="str">
        <f t="shared" si="29"/>
        <v>Aug-2025</v>
      </c>
    </row>
    <row r="265" spans="1:23" x14ac:dyDescent="0.3">
      <c r="A265" s="17" t="str">
        <f>TRIM(Raw_Data!A265)</f>
        <v>REQ-2025-0264</v>
      </c>
      <c r="B265" s="22">
        <f>IF(Raw_Data!B265="","",IF(ISNUMBER(Raw_Data!B265),Raw_Data!B265,IF(ISNUMBER(SEARCH("/",Raw_Data!B265)),IFERROR(DATE(VALUE(RIGHT(Raw_Data!B265,4)),VALUE(MID(Raw_Data!B265,4,2)),VALUE(LEFT(Raw_Data!B265,2))),"Invalid Date"),IFERROR(DATEVALUE(Raw_Data!B265),"Invalid Date"))))</f>
        <v>45702</v>
      </c>
      <c r="C265" s="17" t="str">
        <f>IF(TRIM(Raw_Data!C265)="","",PROPER(TRIM(Raw_Data!C265)))</f>
        <v>Unit D - Signals</v>
      </c>
      <c r="D265" s="17" t="str">
        <f>IF(TRIM(Raw_Data!D265)="","Not Specified",IFERROR(INDEX(Lookup_Tables!$H$6:$H$12,MATCH(TRIM(Raw_Data!D265),Lookup_Tables!$G$6:$G$12,0)),"Unknown - Review"))</f>
        <v>Western</v>
      </c>
      <c r="E265" s="17" t="str">
        <f>IF(TRIM(Raw_Data!E265)="","Not Specified",IFERROR(INDEX(Lookup_Tables!$B$6:$B$18,MATCH(TRIM(Raw_Data!E265),Lookup_Tables!$A$6:$A$18,0)),"Unknown - Review"))</f>
        <v>Vehicle Spares</v>
      </c>
      <c r="F265" s="17" t="str">
        <f>IF(TRIM(Raw_Data!F265)="","",TRIM(Raw_Data!F265))</f>
        <v>Engine Oil Filter</v>
      </c>
      <c r="G265" s="17">
        <f>IF(Raw_Data!G265="","",IF(VALUE(Raw_Data!G265)&lt;=0,"Invalid",VALUE(Raw_Data!G265)))</f>
        <v>386</v>
      </c>
      <c r="H265" s="17" t="str">
        <f>IF(Raw_Data!H265="","",IF(VALUE(Raw_Data!H265)&lt;=0,"Invalid",VALUE(Raw_Data!H265)))</f>
        <v/>
      </c>
      <c r="I265" s="23">
        <f>IFERROR(VALUE(SUBSTITUTE(SUBSTITUTE(Raw_Data!I265,"₹",""),",","")),"")</f>
        <v>25841.83</v>
      </c>
      <c r="J265" s="17" t="str">
        <f>IF(TRIM(Raw_Data!J265)="","Not Specified",PROPER(TRIM(Raw_Data!J265)))</f>
        <v>Low</v>
      </c>
      <c r="K265" s="17" t="str">
        <f>IF(TRIM(Raw_Data!K265)="","Not Specified",IFERROR(INDEX(Lookup_Tables!$E$6:$E$13,MATCH(TRIM(Raw_Data!K265),Lookup_Tables!$D$6:$D$13,0)),"Unknown - Review"))</f>
        <v>Pending</v>
      </c>
      <c r="L265" s="17" t="str">
        <f>IF(TRIM(Raw_Data!L265)="","",PROPER(TRIM(Raw_Data!L265)))</f>
        <v>Logistics Officer</v>
      </c>
      <c r="M265" s="22" t="str">
        <f>IF(Raw_Data!M265="","",IF(ISNUMBER(Raw_Data!M265),Raw_Data!M265,IF(ISNUMBER(SEARCH("/",Raw_Data!M265)),IFERROR(DATE(VALUE(RIGHT(Raw_Data!M265,4)),VALUE(MID(Raw_Data!M265,4,2)),VALUE(LEFT(Raw_Data!M265,2))),"Invalid Date"),IFERROR(DATEVALUE(Raw_Data!M265),"Invalid Date"))))</f>
        <v/>
      </c>
      <c r="N265" s="22" t="str">
        <f>IF(Raw_Data!N265="","",IF(ISNUMBER(Raw_Data!N265),Raw_Data!N265,IF(ISNUMBER(SEARCH("/",Raw_Data!N265)),IFERROR(DATE(VALUE(RIGHT(Raw_Data!N265,4)),VALUE(MID(Raw_Data!N265,4,2)),VALUE(LEFT(Raw_Data!N265,2))),"Invalid Date"),IFERROR(DATEVALUE(Raw_Data!N265),"Invalid Date"))))</f>
        <v/>
      </c>
      <c r="O265" s="22" t="str">
        <f>IF(Raw_Data!O265="","",IF(ISNUMBER(Raw_Data!O265),Raw_Data!O265,IF(ISNUMBER(SEARCH("/",Raw_Data!O265)),IFERROR(DATE(VALUE(RIGHT(Raw_Data!O265,4)),VALUE(MID(Raw_Data!O265,4,2)),VALUE(LEFT(Raw_Data!O265,2))),"Invalid Date"),IFERROR(DATEVALUE(Raw_Data!O265),"Invalid Date"))))</f>
        <v/>
      </c>
      <c r="P265" s="17" t="str">
        <f>IF(OR(TRIM(Raw_Data!P265)="",TRIM(Raw_Data!P265)="N/A",TRIM(Raw_Data!P265)="TBD",TRIM(Raw_Data!P265)="-"),"Not Assigned",PROPER(TRIM(Raw_Data!P265)))</f>
        <v>Om Suppliers</v>
      </c>
      <c r="Q265" s="24" t="str">
        <f t="shared" si="24"/>
        <v/>
      </c>
      <c r="R265" s="17" t="str">
        <f t="shared" si="25"/>
        <v/>
      </c>
      <c r="S265" s="17" t="str">
        <f>IF(COUNTIF($A$2:A265,A265)&gt;1,"Duplicate","Unique")</f>
        <v>Unique</v>
      </c>
      <c r="T265" s="17" t="str">
        <f t="shared" si="26"/>
        <v>No</v>
      </c>
      <c r="U265" s="17" t="str">
        <f t="shared" si="27"/>
        <v>No</v>
      </c>
      <c r="V265" s="17" t="str">
        <f t="shared" si="28"/>
        <v>Yes</v>
      </c>
      <c r="W265" s="17" t="str">
        <f t="shared" si="29"/>
        <v>Feb-2025</v>
      </c>
    </row>
    <row r="266" spans="1:23" x14ac:dyDescent="0.3">
      <c r="A266" s="17" t="str">
        <f>TRIM(Raw_Data!A266)</f>
        <v>REQ-2025-0265</v>
      </c>
      <c r="B266" s="22">
        <f>IF(Raw_Data!B266="","",IF(ISNUMBER(Raw_Data!B266),Raw_Data!B266,IF(ISNUMBER(SEARCH("/",Raw_Data!B266)),IFERROR(DATE(VALUE(RIGHT(Raw_Data!B266,4)),VALUE(MID(Raw_Data!B266,4,2)),VALUE(LEFT(Raw_Data!B266,2))),"Invalid Date"),IFERROR(DATEVALUE(Raw_Data!B266),"Invalid Date"))))</f>
        <v>45913</v>
      </c>
      <c r="C266" s="17" t="str">
        <f>IF(TRIM(Raw_Data!C266)="","",PROPER(TRIM(Raw_Data!C266)))</f>
        <v>Unit H - Air Defence</v>
      </c>
      <c r="D266" s="17" t="str">
        <f>IF(TRIM(Raw_Data!D266)="","Not Specified",IFERROR(INDEX(Lookup_Tables!$H$6:$H$12,MATCH(TRIM(Raw_Data!D266),Lookup_Tables!$G$6:$G$12,0)),"Unknown - Review"))</f>
        <v>Eastern</v>
      </c>
      <c r="E266" s="17" t="str">
        <f>IF(TRIM(Raw_Data!E266)="","Not Specified",IFERROR(INDEX(Lookup_Tables!$B$6:$B$18,MATCH(TRIM(Raw_Data!E266),Lookup_Tables!$A$6:$A$18,0)),"Unknown - Review"))</f>
        <v>Communication Equipment</v>
      </c>
      <c r="F266" s="17" t="str">
        <f>IF(TRIM(Raw_Data!F266)="","",TRIM(Raw_Data!F266))</f>
        <v>Signal Cable (100m)</v>
      </c>
      <c r="G266" s="17">
        <f>IF(Raw_Data!G266="","",IF(VALUE(Raw_Data!G266)&lt;=0,"Invalid",VALUE(Raw_Data!G266)))</f>
        <v>79</v>
      </c>
      <c r="H266" s="17">
        <f>IF(Raw_Data!H266="","",IF(VALUE(Raw_Data!H266)&lt;=0,"Invalid",VALUE(Raw_Data!H266)))</f>
        <v>74</v>
      </c>
      <c r="I266" s="23">
        <f>IFERROR(VALUE(SUBSTITUTE(SUBSTITUTE(Raw_Data!I266,"₹",""),",","")),"")</f>
        <v>1690.32</v>
      </c>
      <c r="J266" s="17" t="str">
        <f>IF(TRIM(Raw_Data!J266)="","Not Specified",PROPER(TRIM(Raw_Data!J266)))</f>
        <v>Medium</v>
      </c>
      <c r="K266" s="17" t="str">
        <f>IF(TRIM(Raw_Data!K266)="","Not Specified",IFERROR(INDEX(Lookup_Tables!$E$6:$E$13,MATCH(TRIM(Raw_Data!K266),Lookup_Tables!$D$6:$D$13,0)),"Unknown - Review"))</f>
        <v>Delivered</v>
      </c>
      <c r="L266" s="17" t="str">
        <f>IF(TRIM(Raw_Data!L266)="","",PROPER(TRIM(Raw_Data!L266)))</f>
        <v>Stores Officer</v>
      </c>
      <c r="M266" s="22">
        <f>IF(Raw_Data!M266="","",IF(ISNUMBER(Raw_Data!M266),Raw_Data!M266,IF(ISNUMBER(SEARCH("/",Raw_Data!M266)),IFERROR(DATE(VALUE(RIGHT(Raw_Data!M266,4)),VALUE(MID(Raw_Data!M266,4,2)),VALUE(LEFT(Raw_Data!M266,2))),"Invalid Date"),IFERROR(DATEVALUE(Raw_Data!M266),"Invalid Date"))))</f>
        <v>45919</v>
      </c>
      <c r="N266" s="22">
        <f>IF(Raw_Data!N266="","",IF(ISNUMBER(Raw_Data!N266),Raw_Data!N266,IF(ISNUMBER(SEARCH("/",Raw_Data!N266)),IFERROR(DATE(VALUE(RIGHT(Raw_Data!N266,4)),VALUE(MID(Raw_Data!N266,4,2)),VALUE(LEFT(Raw_Data!N266,2))),"Invalid Date"),IFERROR(DATEVALUE(Raw_Data!N266),"Invalid Date"))))</f>
        <v>45933</v>
      </c>
      <c r="O266" s="22">
        <f>IF(Raw_Data!O266="","",IF(ISNUMBER(Raw_Data!O266),Raw_Data!O266,IF(ISNUMBER(SEARCH("/",Raw_Data!O266)),IFERROR(DATE(VALUE(RIGHT(Raw_Data!O266,4)),VALUE(MID(Raw_Data!O266,4,2)),VALUE(LEFT(Raw_Data!O266,2))),"Invalid Date"),IFERROR(DATEVALUE(Raw_Data!O266),"Invalid Date"))))</f>
        <v>45944</v>
      </c>
      <c r="P266" s="17" t="str">
        <f>IF(OR(TRIM(Raw_Data!P266)="",TRIM(Raw_Data!P266)="N/A",TRIM(Raw_Data!P266)="TBD",TRIM(Raw_Data!P266)="-"),"Not Assigned",PROPER(TRIM(Raw_Data!P266)))</f>
        <v>Sena Supply Co</v>
      </c>
      <c r="Q266" s="24">
        <f t="shared" si="24"/>
        <v>125083.68</v>
      </c>
      <c r="R266" s="17">
        <f t="shared" si="25"/>
        <v>11</v>
      </c>
      <c r="S266" s="17" t="str">
        <f>IF(COUNTIF($A$2:A266,A266)&gt;1,"Duplicate","Unique")</f>
        <v>Unique</v>
      </c>
      <c r="T266" s="17" t="str">
        <f t="shared" si="26"/>
        <v>No</v>
      </c>
      <c r="U266" s="17" t="str">
        <f t="shared" si="27"/>
        <v>No</v>
      </c>
      <c r="V266" s="17" t="str">
        <f t="shared" si="28"/>
        <v>Yes</v>
      </c>
      <c r="W266" s="17" t="str">
        <f t="shared" si="29"/>
        <v>Sep-2025</v>
      </c>
    </row>
    <row r="267" spans="1:23" x14ac:dyDescent="0.3">
      <c r="A267" s="17" t="str">
        <f>TRIM(Raw_Data!A267)</f>
        <v>REQ-2025-0266</v>
      </c>
      <c r="B267" s="22">
        <f>IF(Raw_Data!B267="","",IF(ISNUMBER(Raw_Data!B267),Raw_Data!B267,IF(ISNUMBER(SEARCH("/",Raw_Data!B267)),IFERROR(DATE(VALUE(RIGHT(Raw_Data!B267,4)),VALUE(MID(Raw_Data!B267,4,2)),VALUE(LEFT(Raw_Data!B267,2))),"Invalid Date"),IFERROR(DATEVALUE(Raw_Data!B267),"Invalid Date"))))</f>
        <v>45938</v>
      </c>
      <c r="C267" s="17" t="str">
        <f>IF(TRIM(Raw_Data!C267)="","",PROPER(TRIM(Raw_Data!C267)))</f>
        <v>Unit G - Transport Corps</v>
      </c>
      <c r="D267" s="17" t="str">
        <f>IF(TRIM(Raw_Data!D267)="","Not Specified",IFERROR(INDEX(Lookup_Tables!$H$6:$H$12,MATCH(TRIM(Raw_Data!D267),Lookup_Tables!$G$6:$G$12,0)),"Unknown - Review"))</f>
        <v>Southern</v>
      </c>
      <c r="E267" s="17" t="str">
        <f>IF(TRIM(Raw_Data!E267)="","Not Specified",IFERROR(INDEX(Lookup_Tables!$B$6:$B$18,MATCH(TRIM(Raw_Data!E267),Lookup_Tables!$A$6:$A$18,0)),"Unknown - Review"))</f>
        <v>Uniforms &amp; Clothing</v>
      </c>
      <c r="F267" s="17" t="str">
        <f>IF(TRIM(Raw_Data!F267)="","",TRIM(Raw_Data!F267))</f>
        <v>Combat Uniform Set</v>
      </c>
      <c r="G267" s="17">
        <f>IF(Raw_Data!G267="","",IF(VALUE(Raw_Data!G267)&lt;=0,"Invalid",VALUE(Raw_Data!G267)))</f>
        <v>183</v>
      </c>
      <c r="H267" s="17" t="str">
        <f>IF(Raw_Data!H267="","",IF(VALUE(Raw_Data!H267)&lt;=0,"Invalid",VALUE(Raw_Data!H267)))</f>
        <v/>
      </c>
      <c r="I267" s="23">
        <f>IFERROR(VALUE(SUBSTITUTE(SUBSTITUTE(Raw_Data!I267,"₹",""),",","")),"")</f>
        <v>23823.82</v>
      </c>
      <c r="J267" s="17" t="str">
        <f>IF(TRIM(Raw_Data!J267)="","Not Specified",PROPER(TRIM(Raw_Data!J267)))</f>
        <v>Routine</v>
      </c>
      <c r="K267" s="17" t="str">
        <f>IF(TRIM(Raw_Data!K267)="","Not Specified",IFERROR(INDEX(Lookup_Tables!$E$6:$E$13,MATCH(TRIM(Raw_Data!K267),Lookup_Tables!$D$6:$D$13,0)),"Unknown - Review"))</f>
        <v>Rejected</v>
      </c>
      <c r="L267" s="17" t="str">
        <f>IF(TRIM(Raw_Data!L267)="","",PROPER(TRIM(Raw_Data!L267)))</f>
        <v>Unit Commander</v>
      </c>
      <c r="M267" s="22" t="str">
        <f>IF(Raw_Data!M267="","",IF(ISNUMBER(Raw_Data!M267),Raw_Data!M267,IF(ISNUMBER(SEARCH("/",Raw_Data!M267)),IFERROR(DATE(VALUE(RIGHT(Raw_Data!M267,4)),VALUE(MID(Raw_Data!M267,4,2)),VALUE(LEFT(Raw_Data!M267,2))),"Invalid Date"),IFERROR(DATEVALUE(Raw_Data!M267),"Invalid Date"))))</f>
        <v/>
      </c>
      <c r="N267" s="22" t="str">
        <f>IF(Raw_Data!N267="","",IF(ISNUMBER(Raw_Data!N267),Raw_Data!N267,IF(ISNUMBER(SEARCH("/",Raw_Data!N267)),IFERROR(DATE(VALUE(RIGHT(Raw_Data!N267,4)),VALUE(MID(Raw_Data!N267,4,2)),VALUE(LEFT(Raw_Data!N267,2))),"Invalid Date"),IFERROR(DATEVALUE(Raw_Data!N267),"Invalid Date"))))</f>
        <v/>
      </c>
      <c r="O267" s="22" t="str">
        <f>IF(Raw_Data!O267="","",IF(ISNUMBER(Raw_Data!O267),Raw_Data!O267,IF(ISNUMBER(SEARCH("/",Raw_Data!O267)),IFERROR(DATE(VALUE(RIGHT(Raw_Data!O267,4)),VALUE(MID(Raw_Data!O267,4,2)),VALUE(LEFT(Raw_Data!O267,2))),"Invalid Date"),IFERROR(DATEVALUE(Raw_Data!O267),"Invalid Date"))))</f>
        <v/>
      </c>
      <c r="P267" s="17" t="str">
        <f>IF(OR(TRIM(Raw_Data!P267)="",TRIM(Raw_Data!P267)="N/A",TRIM(Raw_Data!P267)="TBD",TRIM(Raw_Data!P267)="-"),"Not Assigned",PROPER(TRIM(Raw_Data!P267)))</f>
        <v>Shakti Traders</v>
      </c>
      <c r="Q267" s="24" t="str">
        <f t="shared" si="24"/>
        <v/>
      </c>
      <c r="R267" s="17" t="str">
        <f t="shared" si="25"/>
        <v/>
      </c>
      <c r="S267" s="17" t="str">
        <f>IF(COUNTIF($A$2:A267,A267)&gt;1,"Duplicate","Unique")</f>
        <v>Unique</v>
      </c>
      <c r="T267" s="17" t="str">
        <f t="shared" si="26"/>
        <v>No</v>
      </c>
      <c r="U267" s="17" t="str">
        <f t="shared" si="27"/>
        <v>No</v>
      </c>
      <c r="V267" s="17" t="str">
        <f t="shared" si="28"/>
        <v>Yes</v>
      </c>
      <c r="W267" s="17" t="str">
        <f t="shared" si="29"/>
        <v>Oct-2025</v>
      </c>
    </row>
    <row r="268" spans="1:23" x14ac:dyDescent="0.3">
      <c r="A268" s="17" t="str">
        <f>TRIM(Raw_Data!A268)</f>
        <v>REQ-2025-0267</v>
      </c>
      <c r="B268" s="22">
        <f>IF(Raw_Data!B268="","",IF(ISNUMBER(Raw_Data!B268),Raw_Data!B268,IF(ISNUMBER(SEARCH("/",Raw_Data!B268)),IFERROR(DATE(VALUE(RIGHT(Raw_Data!B268,4)),VALUE(MID(Raw_Data!B268,4,2)),VALUE(LEFT(Raw_Data!B268,2))),"Invalid Date"),IFERROR(DATEVALUE(Raw_Data!B268),"Invalid Date"))))</f>
        <v>45843</v>
      </c>
      <c r="C268" s="17" t="str">
        <f>IF(TRIM(Raw_Data!C268)="","",PROPER(TRIM(Raw_Data!C268)))</f>
        <v>Unit C - Engineers</v>
      </c>
      <c r="D268" s="17" t="str">
        <f>IF(TRIM(Raw_Data!D268)="","Not Specified",IFERROR(INDEX(Lookup_Tables!$H$6:$H$12,MATCH(TRIM(Raw_Data!D268),Lookup_Tables!$G$6:$G$12,0)),"Unknown - Review"))</f>
        <v>Eastern</v>
      </c>
      <c r="E268" s="17" t="str">
        <f>IF(TRIM(Raw_Data!E268)="","Not Specified",IFERROR(INDEX(Lookup_Tables!$B$6:$B$18,MATCH(TRIM(Raw_Data!E268),Lookup_Tables!$A$6:$A$18,0)),"Unknown - Review"))</f>
        <v>Medical Supplies</v>
      </c>
      <c r="F268" s="17" t="str">
        <f>IF(TRIM(Raw_Data!F268)="","",TRIM(Raw_Data!F268))</f>
        <v>First Aid Kit</v>
      </c>
      <c r="G268" s="17">
        <f>IF(Raw_Data!G268="","",IF(VALUE(Raw_Data!G268)&lt;=0,"Invalid",VALUE(Raw_Data!G268)))</f>
        <v>197</v>
      </c>
      <c r="H268" s="17">
        <f>IF(Raw_Data!H268="","",IF(VALUE(Raw_Data!H268)&lt;=0,"Invalid",VALUE(Raw_Data!H268)))</f>
        <v>187</v>
      </c>
      <c r="I268" s="23">
        <f>IFERROR(VALUE(SUBSTITUTE(SUBSTITUTE(Raw_Data!I268,"₹",""),",","")),"")</f>
        <v>41680.44</v>
      </c>
      <c r="J268" s="17" t="str">
        <f>IF(TRIM(Raw_Data!J268)="","Not Specified",PROPER(TRIM(Raw_Data!J268)))</f>
        <v>High</v>
      </c>
      <c r="K268" s="17" t="str">
        <f>IF(TRIM(Raw_Data!K268)="","Not Specified",IFERROR(INDEX(Lookup_Tables!$E$6:$E$13,MATCH(TRIM(Raw_Data!K268),Lookup_Tables!$D$6:$D$13,0)),"Unknown - Review"))</f>
        <v>Delivered</v>
      </c>
      <c r="L268" s="17" t="str">
        <f>IF(TRIM(Raw_Data!L268)="","",PROPER(TRIM(Raw_Data!L268)))</f>
        <v>Logistics Officer</v>
      </c>
      <c r="M268" s="22">
        <f>IF(Raw_Data!M268="","",IF(ISNUMBER(Raw_Data!M268),Raw_Data!M268,IF(ISNUMBER(SEARCH("/",Raw_Data!M268)),IFERROR(DATE(VALUE(RIGHT(Raw_Data!M268,4)),VALUE(MID(Raw_Data!M268,4,2)),VALUE(LEFT(Raw_Data!M268,2))),"Invalid Date"),IFERROR(DATEVALUE(Raw_Data!M268),"Invalid Date"))))</f>
        <v>45845</v>
      </c>
      <c r="N268" s="22">
        <f>IF(Raw_Data!N268="","",IF(ISNUMBER(Raw_Data!N268),Raw_Data!N268,IF(ISNUMBER(SEARCH("/",Raw_Data!N268)),IFERROR(DATE(VALUE(RIGHT(Raw_Data!N268,4)),VALUE(MID(Raw_Data!N268,4,2)),VALUE(LEFT(Raw_Data!N268,2))),"Invalid Date"),IFERROR(DATEVALUE(Raw_Data!N268),"Invalid Date"))))</f>
        <v>45861</v>
      </c>
      <c r="O268" s="22">
        <f>IF(Raw_Data!O268="","",IF(ISNUMBER(Raw_Data!O268),Raw_Data!O268,IF(ISNUMBER(SEARCH("/",Raw_Data!O268)),IFERROR(DATE(VALUE(RIGHT(Raw_Data!O268,4)),VALUE(MID(Raw_Data!O268,4,2)),VALUE(LEFT(Raw_Data!O268,2))),"Invalid Date"),IFERROR(DATEVALUE(Raw_Data!O268),"Invalid Date"))))</f>
        <v>45871</v>
      </c>
      <c r="P268" s="17" t="str">
        <f>IF(OR(TRIM(Raw_Data!P268)="",TRIM(Raw_Data!P268)="N/A",TRIM(Raw_Data!P268)="TBD",TRIM(Raw_Data!P268)="-"),"Not Assigned",PROPER(TRIM(Raw_Data!P268)))</f>
        <v>National Defence Stores</v>
      </c>
      <c r="Q268" s="24">
        <f t="shared" si="24"/>
        <v>7794242.2800000003</v>
      </c>
      <c r="R268" s="17">
        <f t="shared" si="25"/>
        <v>10</v>
      </c>
      <c r="S268" s="17" t="str">
        <f>IF(COUNTIF($A$2:A268,A268)&gt;1,"Duplicate","Unique")</f>
        <v>Unique</v>
      </c>
      <c r="T268" s="17" t="str">
        <f t="shared" si="26"/>
        <v>No</v>
      </c>
      <c r="U268" s="17" t="str">
        <f t="shared" si="27"/>
        <v>No</v>
      </c>
      <c r="V268" s="17" t="str">
        <f t="shared" si="28"/>
        <v>Yes</v>
      </c>
      <c r="W268" s="17" t="str">
        <f t="shared" si="29"/>
        <v>Jul-2025</v>
      </c>
    </row>
    <row r="269" spans="1:23" x14ac:dyDescent="0.3">
      <c r="A269" s="17" t="str">
        <f>TRIM(Raw_Data!A269)</f>
        <v>REQ-2025-0268</v>
      </c>
      <c r="B269" s="22" t="str">
        <f>IF(Raw_Data!B269="","",IF(ISNUMBER(Raw_Data!B269),Raw_Data!B269,IF(ISNUMBER(SEARCH("/",Raw_Data!B269)),IFERROR(DATE(VALUE(RIGHT(Raw_Data!B269,4)),VALUE(MID(Raw_Data!B269,4,2)),VALUE(LEFT(Raw_Data!B269,2))),"Invalid Date"),IFERROR(DATEVALUE(Raw_Data!B269),"Invalid Date"))))</f>
        <v/>
      </c>
      <c r="C269" s="17" t="str">
        <f>IF(TRIM(Raw_Data!C269)="","",PROPER(TRIM(Raw_Data!C269)))</f>
        <v>Unit H - Air Defence</v>
      </c>
      <c r="D269" s="17" t="str">
        <f>IF(TRIM(Raw_Data!D269)="","Not Specified",IFERROR(INDEX(Lookup_Tables!$H$6:$H$12,MATCH(TRIM(Raw_Data!D269),Lookup_Tables!$G$6:$G$12,0)),"Unknown - Review"))</f>
        <v>Western</v>
      </c>
      <c r="E269" s="17" t="str">
        <f>IF(TRIM(Raw_Data!E269)="","Not Specified",IFERROR(INDEX(Lookup_Tables!$B$6:$B$18,MATCH(TRIM(Raw_Data!E269),Lookup_Tables!$A$6:$A$18,0)),"Unknown - Review"))</f>
        <v>Communication Equipment</v>
      </c>
      <c r="F269" s="17" t="str">
        <f>IF(TRIM(Raw_Data!F269)="","",TRIM(Raw_Data!F269))</f>
        <v>Antenna Unit</v>
      </c>
      <c r="G269" s="17">
        <f>IF(Raw_Data!G269="","",IF(VALUE(Raw_Data!G269)&lt;=0,"Invalid",VALUE(Raw_Data!G269)))</f>
        <v>67</v>
      </c>
      <c r="H269" s="17" t="str">
        <f>IF(Raw_Data!H269="","",IF(VALUE(Raw_Data!H269)&lt;=0,"Invalid",VALUE(Raw_Data!H269)))</f>
        <v/>
      </c>
      <c r="I269" s="23">
        <f>IFERROR(VALUE(SUBSTITUTE(SUBSTITUTE(Raw_Data!I269,"₹",""),",","")),"")</f>
        <v>30145</v>
      </c>
      <c r="J269" s="17" t="str">
        <f>IF(TRIM(Raw_Data!J269)="","Not Specified",PROPER(TRIM(Raw_Data!J269)))</f>
        <v>High</v>
      </c>
      <c r="K269" s="17" t="str">
        <f>IF(TRIM(Raw_Data!K269)="","Not Specified",IFERROR(INDEX(Lookup_Tables!$E$6:$E$13,MATCH(TRIM(Raw_Data!K269),Lookup_Tables!$D$6:$D$13,0)),"Unknown - Review"))</f>
        <v>Pending</v>
      </c>
      <c r="L269" s="17" t="str">
        <f>IF(TRIM(Raw_Data!L269)="","",PROPER(TRIM(Raw_Data!L269)))</f>
        <v>Quartermaster</v>
      </c>
      <c r="M269" s="22" t="str">
        <f>IF(Raw_Data!M269="","",IF(ISNUMBER(Raw_Data!M269),Raw_Data!M269,IF(ISNUMBER(SEARCH("/",Raw_Data!M269)),IFERROR(DATE(VALUE(RIGHT(Raw_Data!M269,4)),VALUE(MID(Raw_Data!M269,4,2)),VALUE(LEFT(Raw_Data!M269,2))),"Invalid Date"),IFERROR(DATEVALUE(Raw_Data!M269),"Invalid Date"))))</f>
        <v/>
      </c>
      <c r="N269" s="22" t="str">
        <f>IF(Raw_Data!N269="","",IF(ISNUMBER(Raw_Data!N269),Raw_Data!N269,IF(ISNUMBER(SEARCH("/",Raw_Data!N269)),IFERROR(DATE(VALUE(RIGHT(Raw_Data!N269,4)),VALUE(MID(Raw_Data!N269,4,2)),VALUE(LEFT(Raw_Data!N269,2))),"Invalid Date"),IFERROR(DATEVALUE(Raw_Data!N269),"Invalid Date"))))</f>
        <v/>
      </c>
      <c r="O269" s="22" t="str">
        <f>IF(Raw_Data!O269="","",IF(ISNUMBER(Raw_Data!O269),Raw_Data!O269,IF(ISNUMBER(SEARCH("/",Raw_Data!O269)),IFERROR(DATE(VALUE(RIGHT(Raw_Data!O269,4)),VALUE(MID(Raw_Data!O269,4,2)),VALUE(LEFT(Raw_Data!O269,2))),"Invalid Date"),IFERROR(DATEVALUE(Raw_Data!O269),"Invalid Date"))))</f>
        <v/>
      </c>
      <c r="P269" s="17" t="str">
        <f>IF(OR(TRIM(Raw_Data!P269)="",TRIM(Raw_Data!P269)="N/A",TRIM(Raw_Data!P269)="TBD",TRIM(Raw_Data!P269)="-"),"Not Assigned",PROPER(TRIM(Raw_Data!P269)))</f>
        <v>Not Assigned</v>
      </c>
      <c r="Q269" s="24" t="str">
        <f t="shared" si="24"/>
        <v/>
      </c>
      <c r="R269" s="17" t="str">
        <f t="shared" si="25"/>
        <v/>
      </c>
      <c r="S269" s="17" t="str">
        <f>IF(COUNTIF($A$2:A269,A269)&gt;1,"Duplicate","Unique")</f>
        <v>Unique</v>
      </c>
      <c r="T269" s="17" t="str">
        <f t="shared" si="26"/>
        <v>No</v>
      </c>
      <c r="U269" s="17" t="str">
        <f t="shared" si="27"/>
        <v>No</v>
      </c>
      <c r="V269" s="17" t="str">
        <f t="shared" si="28"/>
        <v>Yes</v>
      </c>
      <c r="W269" s="17" t="str">
        <f t="shared" si="29"/>
        <v/>
      </c>
    </row>
    <row r="270" spans="1:23" x14ac:dyDescent="0.3">
      <c r="A270" s="17" t="str">
        <f>TRIM(Raw_Data!A270)</f>
        <v>REQ-2025-0269</v>
      </c>
      <c r="B270" s="22">
        <f>IF(Raw_Data!B270="","",IF(ISNUMBER(Raw_Data!B270),Raw_Data!B270,IF(ISNUMBER(SEARCH("/",Raw_Data!B270)),IFERROR(DATE(VALUE(RIGHT(Raw_Data!B270,4)),VALUE(MID(Raw_Data!B270,4,2)),VALUE(LEFT(Raw_Data!B270,2))),"Invalid Date"),IFERROR(DATEVALUE(Raw_Data!B270),"Invalid Date"))))</f>
        <v>45942</v>
      </c>
      <c r="C270" s="17" t="str">
        <f>IF(TRIM(Raw_Data!C270)="","",PROPER(TRIM(Raw_Data!C270)))</f>
        <v>Unit C - Engineers</v>
      </c>
      <c r="D270" s="17" t="str">
        <f>IF(TRIM(Raw_Data!D270)="","Not Specified",IFERROR(INDEX(Lookup_Tables!$H$6:$H$12,MATCH(TRIM(Raw_Data!D270),Lookup_Tables!$G$6:$G$12,0)),"Unknown - Review"))</f>
        <v>Eastern</v>
      </c>
      <c r="E270" s="17" t="str">
        <f>IF(TRIM(Raw_Data!E270)="","Not Specified",IFERROR(INDEX(Lookup_Tables!$B$6:$B$18,MATCH(TRIM(Raw_Data!E270),Lookup_Tables!$A$6:$A$18,0)),"Unknown - Review"))</f>
        <v>Rations</v>
      </c>
      <c r="F270" s="17" t="str">
        <f>IF(TRIM(Raw_Data!F270)="","",TRIM(Raw_Data!F270))</f>
        <v>Wheat Flour (50kg bag)</v>
      </c>
      <c r="G270" s="17">
        <f>IF(Raw_Data!G270="","",IF(VALUE(Raw_Data!G270)&lt;=0,"Invalid",VALUE(Raw_Data!G270)))</f>
        <v>270</v>
      </c>
      <c r="H270" s="17">
        <f>IF(Raw_Data!H270="","",IF(VALUE(Raw_Data!H270)&lt;=0,"Invalid",VALUE(Raw_Data!H270)))</f>
        <v>255</v>
      </c>
      <c r="I270" s="23">
        <f>IFERROR(VALUE(SUBSTITUTE(SUBSTITUTE(Raw_Data!I270,"₹",""),",","")),"")</f>
        <v>29378.77</v>
      </c>
      <c r="J270" s="17" t="str">
        <f>IF(TRIM(Raw_Data!J270)="","Not Specified",PROPER(TRIM(Raw_Data!J270)))</f>
        <v>Routine</v>
      </c>
      <c r="K270" s="17" t="str">
        <f>IF(TRIM(Raw_Data!K270)="","Not Specified",IFERROR(INDEX(Lookup_Tables!$E$6:$E$13,MATCH(TRIM(Raw_Data!K270),Lookup_Tables!$D$6:$D$13,0)),"Unknown - Review"))</f>
        <v>Delivered</v>
      </c>
      <c r="L270" s="17" t="str">
        <f>IF(TRIM(Raw_Data!L270)="","",PROPER(TRIM(Raw_Data!L270)))</f>
        <v>Quartermaster</v>
      </c>
      <c r="M270" s="22">
        <f>IF(Raw_Data!M270="","",IF(ISNUMBER(Raw_Data!M270),Raw_Data!M270,IF(ISNUMBER(SEARCH("/",Raw_Data!M270)),IFERROR(DATE(VALUE(RIGHT(Raw_Data!M270,4)),VALUE(MID(Raw_Data!M270,4,2)),VALUE(LEFT(Raw_Data!M270,2))),"Invalid Date"),IFERROR(DATEVALUE(Raw_Data!M270),"Invalid Date"))))</f>
        <v>45946</v>
      </c>
      <c r="N270" s="22">
        <f>IF(Raw_Data!N270="","",IF(ISNUMBER(Raw_Data!N270),Raw_Data!N270,IF(ISNUMBER(SEARCH("/",Raw_Data!N270)),IFERROR(DATE(VALUE(RIGHT(Raw_Data!N270,4)),VALUE(MID(Raw_Data!N270,4,2)),VALUE(LEFT(Raw_Data!N270,2))),"Invalid Date"),IFERROR(DATEVALUE(Raw_Data!N270),"Invalid Date"))))</f>
        <v>45972</v>
      </c>
      <c r="O270" s="22">
        <f>IF(Raw_Data!O270="","",IF(ISNUMBER(Raw_Data!O270),Raw_Data!O270,IF(ISNUMBER(SEARCH("/",Raw_Data!O270)),IFERROR(DATE(VALUE(RIGHT(Raw_Data!O270,4)),VALUE(MID(Raw_Data!O270,4,2)),VALUE(LEFT(Raw_Data!O270,2))),"Invalid Date"),IFERROR(DATEVALUE(Raw_Data!O270),"Invalid Date"))))</f>
        <v>45970</v>
      </c>
      <c r="P270" s="17" t="str">
        <f>IF(OR(TRIM(Raw_Data!P270)="",TRIM(Raw_Data!P270)="N/A",TRIM(Raw_Data!P270)="TBD",TRIM(Raw_Data!P270)="-"),"Not Assigned",PROPER(TRIM(Raw_Data!P270)))</f>
        <v>National Defence Stores</v>
      </c>
      <c r="Q270" s="24">
        <f t="shared" si="24"/>
        <v>7491586.3500000006</v>
      </c>
      <c r="R270" s="17">
        <f t="shared" si="25"/>
        <v>-2</v>
      </c>
      <c r="S270" s="17" t="str">
        <f>IF(COUNTIF($A$2:A270,A270)&gt;1,"Duplicate","Unique")</f>
        <v>Unique</v>
      </c>
      <c r="T270" s="17" t="str">
        <f t="shared" si="26"/>
        <v>No</v>
      </c>
      <c r="U270" s="17" t="str">
        <f t="shared" si="27"/>
        <v>No</v>
      </c>
      <c r="V270" s="17" t="str">
        <f t="shared" si="28"/>
        <v>Yes</v>
      </c>
      <c r="W270" s="17" t="str">
        <f t="shared" si="29"/>
        <v>Oct-2025</v>
      </c>
    </row>
    <row r="271" spans="1:23" x14ac:dyDescent="0.3">
      <c r="A271" s="17" t="str">
        <f>TRIM(Raw_Data!A271)</f>
        <v>REQ-2025-0270</v>
      </c>
      <c r="B271" s="22">
        <f>IF(Raw_Data!B271="","",IF(ISNUMBER(Raw_Data!B271),Raw_Data!B271,IF(ISNUMBER(SEARCH("/",Raw_Data!B271)),IFERROR(DATE(VALUE(RIGHT(Raw_Data!B271,4)),VALUE(MID(Raw_Data!B271,4,2)),VALUE(LEFT(Raw_Data!B271,2))),"Invalid Date"),IFERROR(DATEVALUE(Raw_Data!B271),"Invalid Date"))))</f>
        <v>45995</v>
      </c>
      <c r="C271" s="17" t="str">
        <f>IF(TRIM(Raw_Data!C271)="","",PROPER(TRIM(Raw_Data!C271)))</f>
        <v>Unit D - Signals</v>
      </c>
      <c r="D271" s="17" t="str">
        <f>IF(TRIM(Raw_Data!D271)="","Not Specified",IFERROR(INDEX(Lookup_Tables!$H$6:$H$12,MATCH(TRIM(Raw_Data!D271),Lookup_Tables!$G$6:$G$12,0)),"Unknown - Review"))</f>
        <v>Western</v>
      </c>
      <c r="E271" s="17" t="str">
        <f>IF(TRIM(Raw_Data!E271)="","Not Specified",IFERROR(INDEX(Lookup_Tables!$B$6:$B$18,MATCH(TRIM(Raw_Data!E271),Lookup_Tables!$A$6:$A$18,0)),"Unknown - Review"))</f>
        <v>Tents &amp; Shelter</v>
      </c>
      <c r="F271" s="17" t="str">
        <f>IF(TRIM(Raw_Data!F271)="","",TRIM(Raw_Data!F271))</f>
        <v>Camouflage Net</v>
      </c>
      <c r="G271" s="17">
        <f>IF(Raw_Data!G271="","",IF(VALUE(Raw_Data!G271)&lt;=0,"Invalid",VALUE(Raw_Data!G271)))</f>
        <v>360</v>
      </c>
      <c r="H271" s="17">
        <f>IF(Raw_Data!H271="","",IF(VALUE(Raw_Data!H271)&lt;=0,"Invalid",VALUE(Raw_Data!H271)))</f>
        <v>359</v>
      </c>
      <c r="I271" s="23">
        <f>IFERROR(VALUE(SUBSTITUTE(SUBSTITUTE(Raw_Data!I271,"₹",""),",","")),"")</f>
        <v>27337</v>
      </c>
      <c r="J271" s="17" t="str">
        <f>IF(TRIM(Raw_Data!J271)="","Not Specified",PROPER(TRIM(Raw_Data!J271)))</f>
        <v>Medium</v>
      </c>
      <c r="K271" s="17" t="str">
        <f>IF(TRIM(Raw_Data!K271)="","Not Specified",IFERROR(INDEX(Lookup_Tables!$E$6:$E$13,MATCH(TRIM(Raw_Data!K271),Lookup_Tables!$D$6:$D$13,0)),"Unknown - Review"))</f>
        <v>Dispatched</v>
      </c>
      <c r="L271" s="17" t="str">
        <f>IF(TRIM(Raw_Data!L271)="","",PROPER(TRIM(Raw_Data!L271)))</f>
        <v>Unit Commander</v>
      </c>
      <c r="M271" s="22">
        <f>IF(Raw_Data!M271="","",IF(ISNUMBER(Raw_Data!M271),Raw_Data!M271,IF(ISNUMBER(SEARCH("/",Raw_Data!M271)),IFERROR(DATE(VALUE(RIGHT(Raw_Data!M271,4)),VALUE(MID(Raw_Data!M271,4,2)),VALUE(LEFT(Raw_Data!M271,2))),"Invalid Date"),IFERROR(DATEVALUE(Raw_Data!M271),"Invalid Date"))))</f>
        <v>46004</v>
      </c>
      <c r="N271" s="22">
        <f>IF(Raw_Data!N271="","",IF(ISNUMBER(Raw_Data!N271),Raw_Data!N271,IF(ISNUMBER(SEARCH("/",Raw_Data!N271)),IFERROR(DATE(VALUE(RIGHT(Raw_Data!N271,4)),VALUE(MID(Raw_Data!N271,4,2)),VALUE(LEFT(Raw_Data!N271,2))),"Invalid Date"),IFERROR(DATEVALUE(Raw_Data!N271),"Invalid Date"))))</f>
        <v>46015</v>
      </c>
      <c r="O271" s="22" t="str">
        <f>IF(Raw_Data!O271="","",IF(ISNUMBER(Raw_Data!O271),Raw_Data!O271,IF(ISNUMBER(SEARCH("/",Raw_Data!O271)),IFERROR(DATE(VALUE(RIGHT(Raw_Data!O271,4)),VALUE(MID(Raw_Data!O271,4,2)),VALUE(LEFT(Raw_Data!O271,2))),"Invalid Date"),IFERROR(DATEVALUE(Raw_Data!O271),"Invalid Date"))))</f>
        <v/>
      </c>
      <c r="P271" s="17" t="str">
        <f>IF(OR(TRIM(Raw_Data!P271)="",TRIM(Raw_Data!P271)="N/A",TRIM(Raw_Data!P271)="TBD",TRIM(Raw_Data!P271)="-"),"Not Assigned",PROPER(TRIM(Raw_Data!P271)))</f>
        <v>Sena Supply Co</v>
      </c>
      <c r="Q271" s="24">
        <f t="shared" si="24"/>
        <v>9813983</v>
      </c>
      <c r="R271" s="17" t="str">
        <f t="shared" si="25"/>
        <v/>
      </c>
      <c r="S271" s="17" t="str">
        <f>IF(COUNTIF($A$2:A271,A271)&gt;1,"Duplicate","Unique")</f>
        <v>Unique</v>
      </c>
      <c r="T271" s="17" t="str">
        <f t="shared" si="26"/>
        <v>No</v>
      </c>
      <c r="U271" s="17" t="str">
        <f t="shared" si="27"/>
        <v>No</v>
      </c>
      <c r="V271" s="17" t="str">
        <f t="shared" si="28"/>
        <v>Yes</v>
      </c>
      <c r="W271" s="17" t="str">
        <f t="shared" si="29"/>
        <v>Dec-2025</v>
      </c>
    </row>
    <row r="272" spans="1:23" x14ac:dyDescent="0.3">
      <c r="A272" s="17" t="str">
        <f>TRIM(Raw_Data!A272)</f>
        <v>REQ-2025-0271</v>
      </c>
      <c r="B272" s="22">
        <f>IF(Raw_Data!B272="","",IF(ISNUMBER(Raw_Data!B272),Raw_Data!B272,IF(ISNUMBER(SEARCH("/",Raw_Data!B272)),IFERROR(DATE(VALUE(RIGHT(Raw_Data!B272,4)),VALUE(MID(Raw_Data!B272,4,2)),VALUE(LEFT(Raw_Data!B272,2))),"Invalid Date"),IFERROR(DATEVALUE(Raw_Data!B272),"Invalid Date"))))</f>
        <v>45762</v>
      </c>
      <c r="C272" s="17" t="str">
        <f>IF(TRIM(Raw_Data!C272)="","",PROPER(TRIM(Raw_Data!C272)))</f>
        <v>Unit E - Medical Corps</v>
      </c>
      <c r="D272" s="17" t="str">
        <f>IF(TRIM(Raw_Data!D272)="","Not Specified",IFERROR(INDEX(Lookup_Tables!$H$6:$H$12,MATCH(TRIM(Raw_Data!D272),Lookup_Tables!$G$6:$G$12,0)),"Unknown - Review"))</f>
        <v>Central</v>
      </c>
      <c r="E272" s="17" t="str">
        <f>IF(TRIM(Raw_Data!E272)="","Not Specified",IFERROR(INDEX(Lookup_Tables!$B$6:$B$18,MATCH(TRIM(Raw_Data!E272),Lookup_Tables!$A$6:$A$18,0)),"Unknown - Review"))</f>
        <v>Uniforms &amp; Clothing</v>
      </c>
      <c r="F272" s="17" t="str">
        <f>IF(TRIM(Raw_Data!F272)="","",TRIM(Raw_Data!F272))</f>
        <v>Woolen Gloves</v>
      </c>
      <c r="G272" s="17">
        <f>IF(Raw_Data!G272="","",IF(VALUE(Raw_Data!G272)&lt;=0,"Invalid",VALUE(Raw_Data!G272)))</f>
        <v>370</v>
      </c>
      <c r="H272" s="17" t="str">
        <f>IF(Raw_Data!H272="","",IF(VALUE(Raw_Data!H272)&lt;=0,"Invalid",VALUE(Raw_Data!H272)))</f>
        <v/>
      </c>
      <c r="I272" s="23">
        <f>IFERROR(VALUE(SUBSTITUTE(SUBSTITUTE(Raw_Data!I272,"₹",""),",","")),"")</f>
        <v>29630.71</v>
      </c>
      <c r="J272" s="17" t="str">
        <f>IF(TRIM(Raw_Data!J272)="","Not Specified",PROPER(TRIM(Raw_Data!J272)))</f>
        <v>Low</v>
      </c>
      <c r="K272" s="17" t="str">
        <f>IF(TRIM(Raw_Data!K272)="","Not Specified",IFERROR(INDEX(Lookup_Tables!$E$6:$E$13,MATCH(TRIM(Raw_Data!K272),Lookup_Tables!$D$6:$D$13,0)),"Unknown - Review"))</f>
        <v>Pending</v>
      </c>
      <c r="L272" s="17" t="str">
        <f>IF(TRIM(Raw_Data!L272)="","",PROPER(TRIM(Raw_Data!L272)))</f>
        <v>Logistics Officer</v>
      </c>
      <c r="M272" s="22" t="str">
        <f>IF(Raw_Data!M272="","",IF(ISNUMBER(Raw_Data!M272),Raw_Data!M272,IF(ISNUMBER(SEARCH("/",Raw_Data!M272)),IFERROR(DATE(VALUE(RIGHT(Raw_Data!M272,4)),VALUE(MID(Raw_Data!M272,4,2)),VALUE(LEFT(Raw_Data!M272,2))),"Invalid Date"),IFERROR(DATEVALUE(Raw_Data!M272),"Invalid Date"))))</f>
        <v/>
      </c>
      <c r="N272" s="22" t="str">
        <f>IF(Raw_Data!N272="","",IF(ISNUMBER(Raw_Data!N272),Raw_Data!N272,IF(ISNUMBER(SEARCH("/",Raw_Data!N272)),IFERROR(DATE(VALUE(RIGHT(Raw_Data!N272,4)),VALUE(MID(Raw_Data!N272,4,2)),VALUE(LEFT(Raw_Data!N272,2))),"Invalid Date"),IFERROR(DATEVALUE(Raw_Data!N272),"Invalid Date"))))</f>
        <v/>
      </c>
      <c r="O272" s="22" t="str">
        <f>IF(Raw_Data!O272="","",IF(ISNUMBER(Raw_Data!O272),Raw_Data!O272,IF(ISNUMBER(SEARCH("/",Raw_Data!O272)),IFERROR(DATE(VALUE(RIGHT(Raw_Data!O272,4)),VALUE(MID(Raw_Data!O272,4,2)),VALUE(LEFT(Raw_Data!O272,2))),"Invalid Date"),IFERROR(DATEVALUE(Raw_Data!O272),"Invalid Date"))))</f>
        <v/>
      </c>
      <c r="P272" s="17" t="str">
        <f>IF(OR(TRIM(Raw_Data!P272)="",TRIM(Raw_Data!P272)="N/A",TRIM(Raw_Data!P272)="TBD",TRIM(Raw_Data!P272)="-"),"Not Assigned",PROPER(TRIM(Raw_Data!P272)))</f>
        <v>Not Assigned</v>
      </c>
      <c r="Q272" s="24" t="str">
        <f t="shared" si="24"/>
        <v/>
      </c>
      <c r="R272" s="17" t="str">
        <f t="shared" si="25"/>
        <v/>
      </c>
      <c r="S272" s="17" t="str">
        <f>IF(COUNTIF($A$2:A272,A272)&gt;1,"Duplicate","Unique")</f>
        <v>Unique</v>
      </c>
      <c r="T272" s="17" t="str">
        <f t="shared" si="26"/>
        <v>No</v>
      </c>
      <c r="U272" s="17" t="str">
        <f t="shared" si="27"/>
        <v>No</v>
      </c>
      <c r="V272" s="17" t="str">
        <f t="shared" si="28"/>
        <v>Yes</v>
      </c>
      <c r="W272" s="17" t="str">
        <f t="shared" si="29"/>
        <v>Apr-2025</v>
      </c>
    </row>
    <row r="273" spans="1:23" x14ac:dyDescent="0.3">
      <c r="A273" s="17" t="str">
        <f>TRIM(Raw_Data!A273)</f>
        <v>REQ-2025-0272</v>
      </c>
      <c r="B273" s="22">
        <f>IF(Raw_Data!B273="","",IF(ISNUMBER(Raw_Data!B273),Raw_Data!B273,IF(ISNUMBER(SEARCH("/",Raw_Data!B273)),IFERROR(DATE(VALUE(RIGHT(Raw_Data!B273,4)),VALUE(MID(Raw_Data!B273,4,2)),VALUE(LEFT(Raw_Data!B273,2))),"Invalid Date"),IFERROR(DATEVALUE(Raw_Data!B273),"Invalid Date"))))</f>
        <v>45663</v>
      </c>
      <c r="C273" s="17" t="str">
        <f>IF(TRIM(Raw_Data!C273)="","",PROPER(TRIM(Raw_Data!C273)))</f>
        <v>Unit E - Medical Corps</v>
      </c>
      <c r="D273" s="17" t="str">
        <f>IF(TRIM(Raw_Data!D273)="","Not Specified",IFERROR(INDEX(Lookup_Tables!$H$6:$H$12,MATCH(TRIM(Raw_Data!D273),Lookup_Tables!$G$6:$G$12,0)),"Unknown - Review"))</f>
        <v>Central</v>
      </c>
      <c r="E273" s="17" t="str">
        <f>IF(TRIM(Raw_Data!E273)="","Not Specified",IFERROR(INDEX(Lookup_Tables!$B$6:$B$18,MATCH(TRIM(Raw_Data!E273),Lookup_Tables!$A$6:$A$18,0)),"Unknown - Review"))</f>
        <v>Medical Supplies</v>
      </c>
      <c r="F273" s="17" t="str">
        <f>IF(TRIM(Raw_Data!F273)="","",TRIM(Raw_Data!F273))</f>
        <v>Bandage Roll (Pack)</v>
      </c>
      <c r="G273" s="17">
        <f>IF(Raw_Data!G273="","",IF(VALUE(Raw_Data!G273)&lt;=0,"Invalid",VALUE(Raw_Data!G273)))</f>
        <v>492</v>
      </c>
      <c r="H273" s="17" t="str">
        <f>IF(Raw_Data!H273="","",IF(VALUE(Raw_Data!H273)&lt;=0,"Invalid",VALUE(Raw_Data!H273)))</f>
        <v/>
      </c>
      <c r="I273" s="23">
        <f>IFERROR(VALUE(SUBSTITUTE(SUBSTITUTE(Raw_Data!I273,"₹",""),",","")),"")</f>
        <v>41665</v>
      </c>
      <c r="J273" s="17" t="str">
        <f>IF(TRIM(Raw_Data!J273)="","Not Specified",PROPER(TRIM(Raw_Data!J273)))</f>
        <v>Medium</v>
      </c>
      <c r="K273" s="17" t="str">
        <f>IF(TRIM(Raw_Data!K273)="","Not Specified",IFERROR(INDEX(Lookup_Tables!$E$6:$E$13,MATCH(TRIM(Raw_Data!K273),Lookup_Tables!$D$6:$D$13,0)),"Unknown - Review"))</f>
        <v>Pending</v>
      </c>
      <c r="L273" s="17" t="str">
        <f>IF(TRIM(Raw_Data!L273)="","",PROPER(TRIM(Raw_Data!L273)))</f>
        <v>Unit Commander</v>
      </c>
      <c r="M273" s="22" t="str">
        <f>IF(Raw_Data!M273="","",IF(ISNUMBER(Raw_Data!M273),Raw_Data!M273,IF(ISNUMBER(SEARCH("/",Raw_Data!M273)),IFERROR(DATE(VALUE(RIGHT(Raw_Data!M273,4)),VALUE(MID(Raw_Data!M273,4,2)),VALUE(LEFT(Raw_Data!M273,2))),"Invalid Date"),IFERROR(DATEVALUE(Raw_Data!M273),"Invalid Date"))))</f>
        <v/>
      </c>
      <c r="N273" s="22" t="str">
        <f>IF(Raw_Data!N273="","",IF(ISNUMBER(Raw_Data!N273),Raw_Data!N273,IF(ISNUMBER(SEARCH("/",Raw_Data!N273)),IFERROR(DATE(VALUE(RIGHT(Raw_Data!N273,4)),VALUE(MID(Raw_Data!N273,4,2)),VALUE(LEFT(Raw_Data!N273,2))),"Invalid Date"),IFERROR(DATEVALUE(Raw_Data!N273),"Invalid Date"))))</f>
        <v/>
      </c>
      <c r="O273" s="22" t="str">
        <f>IF(Raw_Data!O273="","",IF(ISNUMBER(Raw_Data!O273),Raw_Data!O273,IF(ISNUMBER(SEARCH("/",Raw_Data!O273)),IFERROR(DATE(VALUE(RIGHT(Raw_Data!O273,4)),VALUE(MID(Raw_Data!O273,4,2)),VALUE(LEFT(Raw_Data!O273,2))),"Invalid Date"),IFERROR(DATEVALUE(Raw_Data!O273),"Invalid Date"))))</f>
        <v/>
      </c>
      <c r="P273" s="17" t="str">
        <f>IF(OR(TRIM(Raw_Data!P273)="",TRIM(Raw_Data!P273)="N/A",TRIM(Raw_Data!P273)="TBD",TRIM(Raw_Data!P273)="-"),"Not Assigned",PROPER(TRIM(Raw_Data!P273)))</f>
        <v>Shakti Traders</v>
      </c>
      <c r="Q273" s="24" t="str">
        <f t="shared" si="24"/>
        <v/>
      </c>
      <c r="R273" s="17" t="str">
        <f t="shared" si="25"/>
        <v/>
      </c>
      <c r="S273" s="17" t="str">
        <f>IF(COUNTIF($A$2:A273,A273)&gt;1,"Duplicate","Unique")</f>
        <v>Unique</v>
      </c>
      <c r="T273" s="17" t="str">
        <f t="shared" si="26"/>
        <v>No</v>
      </c>
      <c r="U273" s="17" t="str">
        <f t="shared" si="27"/>
        <v>No</v>
      </c>
      <c r="V273" s="17" t="str">
        <f t="shared" si="28"/>
        <v>Yes</v>
      </c>
      <c r="W273" s="17" t="str">
        <f t="shared" si="29"/>
        <v>Jan-2025</v>
      </c>
    </row>
    <row r="274" spans="1:23" x14ac:dyDescent="0.3">
      <c r="A274" s="17" t="str">
        <f>TRIM(Raw_Data!A274)</f>
        <v>REQ-2025-0273</v>
      </c>
      <c r="B274" s="22">
        <f>IF(Raw_Data!B274="","",IF(ISNUMBER(Raw_Data!B274),Raw_Data!B274,IF(ISNUMBER(SEARCH("/",Raw_Data!B274)),IFERROR(DATE(VALUE(RIGHT(Raw_Data!B274,4)),VALUE(MID(Raw_Data!B274,4,2)),VALUE(LEFT(Raw_Data!B274,2))),"Invalid Date"),IFERROR(DATEVALUE(Raw_Data!B274),"Invalid Date"))))</f>
        <v>45662</v>
      </c>
      <c r="C274" s="17" t="str">
        <f>IF(TRIM(Raw_Data!C274)="","",PROPER(TRIM(Raw_Data!C274)))</f>
        <v>Unit G - Transport Corps</v>
      </c>
      <c r="D274" s="17" t="str">
        <f>IF(TRIM(Raw_Data!D274)="","Not Specified",IFERROR(INDEX(Lookup_Tables!$H$6:$H$12,MATCH(TRIM(Raw_Data!D274),Lookup_Tables!$G$6:$G$12,0)),"Unknown - Review"))</f>
        <v>Southern</v>
      </c>
      <c r="E274" s="17" t="str">
        <f>IF(TRIM(Raw_Data!E274)="","Not Specified",IFERROR(INDEX(Lookup_Tables!$B$6:$B$18,MATCH(TRIM(Raw_Data!E274),Lookup_Tables!$A$6:$A$18,0)),"Unknown - Review"))</f>
        <v>Uniforms &amp; Clothing</v>
      </c>
      <c r="F274" s="17" t="str">
        <f>IF(TRIM(Raw_Data!F274)="","",TRIM(Raw_Data!F274))</f>
        <v>Field Boots (Pair)</v>
      </c>
      <c r="G274" s="17">
        <f>IF(Raw_Data!G274="","",IF(VALUE(Raw_Data!G274)&lt;=0,"Invalid",VALUE(Raw_Data!G274)))</f>
        <v>78</v>
      </c>
      <c r="H274" s="17">
        <f>IF(Raw_Data!H274="","",IF(VALUE(Raw_Data!H274)&lt;=0,"Invalid",VALUE(Raw_Data!H274)))</f>
        <v>55</v>
      </c>
      <c r="I274" s="23">
        <f>IFERROR(VALUE(SUBSTITUTE(SUBSTITUTE(Raw_Data!I274,"₹",""),",","")),"")</f>
        <v>32685</v>
      </c>
      <c r="J274" s="17" t="str">
        <f>IF(TRIM(Raw_Data!J274)="","Not Specified",PROPER(TRIM(Raw_Data!J274)))</f>
        <v>Medium</v>
      </c>
      <c r="K274" s="17" t="str">
        <f>IF(TRIM(Raw_Data!K274)="","Not Specified",IFERROR(INDEX(Lookup_Tables!$E$6:$E$13,MATCH(TRIM(Raw_Data!K274),Lookup_Tables!$D$6:$D$13,0)),"Unknown - Review"))</f>
        <v>Delivered</v>
      </c>
      <c r="L274" s="17" t="str">
        <f>IF(TRIM(Raw_Data!L274)="","",PROPER(TRIM(Raw_Data!L274)))</f>
        <v>Logistics Officer</v>
      </c>
      <c r="M274" s="22" t="str">
        <f>IF(Raw_Data!M274="","",IF(ISNUMBER(Raw_Data!M274),Raw_Data!M274,IF(ISNUMBER(SEARCH("/",Raw_Data!M274)),IFERROR(DATE(VALUE(RIGHT(Raw_Data!M274,4)),VALUE(MID(Raw_Data!M274,4,2)),VALUE(LEFT(Raw_Data!M274,2))),"Invalid Date"),IFERROR(DATEVALUE(Raw_Data!M274),"Invalid Date"))))</f>
        <v/>
      </c>
      <c r="N274" s="22">
        <f>IF(Raw_Data!N274="","",IF(ISNUMBER(Raw_Data!N274),Raw_Data!N274,IF(ISNUMBER(SEARCH("/",Raw_Data!N274)),IFERROR(DATE(VALUE(RIGHT(Raw_Data!N274,4)),VALUE(MID(Raw_Data!N274,4,2)),VALUE(LEFT(Raw_Data!N274,2))),"Invalid Date"),IFERROR(DATEVALUE(Raw_Data!N274),"Invalid Date"))))</f>
        <v>45695</v>
      </c>
      <c r="O274" s="22">
        <f>IF(Raw_Data!O274="","",IF(ISNUMBER(Raw_Data!O274),Raw_Data!O274,IF(ISNUMBER(SEARCH("/",Raw_Data!O274)),IFERROR(DATE(VALUE(RIGHT(Raw_Data!O274,4)),VALUE(MID(Raw_Data!O274,4,2)),VALUE(LEFT(Raw_Data!O274,2))),"Invalid Date"),IFERROR(DATEVALUE(Raw_Data!O274),"Invalid Date"))))</f>
        <v>45714</v>
      </c>
      <c r="P274" s="17" t="str">
        <f>IF(OR(TRIM(Raw_Data!P274)="",TRIM(Raw_Data!P274)="N/A",TRIM(Raw_Data!P274)="TBD",TRIM(Raw_Data!P274)="-"),"Not Assigned",PROPER(TRIM(Raw_Data!P274)))</f>
        <v>Vikram Enterprises</v>
      </c>
      <c r="Q274" s="24">
        <f t="shared" si="24"/>
        <v>1797675</v>
      </c>
      <c r="R274" s="17">
        <f t="shared" si="25"/>
        <v>19</v>
      </c>
      <c r="S274" s="17" t="str">
        <f>IF(COUNTIF($A$2:A274,A274)&gt;1,"Duplicate","Unique")</f>
        <v>Unique</v>
      </c>
      <c r="T274" s="17" t="str">
        <f t="shared" si="26"/>
        <v>No</v>
      </c>
      <c r="U274" s="17" t="str">
        <f t="shared" si="27"/>
        <v>No</v>
      </c>
      <c r="V274" s="17" t="str">
        <f t="shared" si="28"/>
        <v>Yes</v>
      </c>
      <c r="W274" s="17" t="str">
        <f t="shared" si="29"/>
        <v>Jan-2025</v>
      </c>
    </row>
    <row r="275" spans="1:23" x14ac:dyDescent="0.3">
      <c r="A275" s="17" t="str">
        <f>TRIM(Raw_Data!A275)</f>
        <v>REQ-2025-0274</v>
      </c>
      <c r="B275" s="22">
        <f>IF(Raw_Data!B275="","",IF(ISNUMBER(Raw_Data!B275),Raw_Data!B275,IF(ISNUMBER(SEARCH("/",Raw_Data!B275)),IFERROR(DATE(VALUE(RIGHT(Raw_Data!B275,4)),VALUE(MID(Raw_Data!B275,4,2)),VALUE(LEFT(Raw_Data!B275,2))),"Invalid Date"),IFERROR(DATEVALUE(Raw_Data!B275),"Invalid Date"))))</f>
        <v>45952</v>
      </c>
      <c r="C275" s="17" t="str">
        <f>IF(TRIM(Raw_Data!C275)="","",PROPER(TRIM(Raw_Data!C275)))</f>
        <v>Unit B - Artillery</v>
      </c>
      <c r="D275" s="17" t="str">
        <f>IF(TRIM(Raw_Data!D275)="","Not Specified",IFERROR(INDEX(Lookup_Tables!$H$6:$H$12,MATCH(TRIM(Raw_Data!D275),Lookup_Tables!$G$6:$G$12,0)),"Unknown - Review"))</f>
        <v>Southern</v>
      </c>
      <c r="E275" s="17" t="str">
        <f>IF(TRIM(Raw_Data!E275)="","Not Specified",IFERROR(INDEX(Lookup_Tables!$B$6:$B$18,MATCH(TRIM(Raw_Data!E275),Lookup_Tables!$A$6:$A$18,0)),"Unknown - Review"))</f>
        <v>Vehicle Spares</v>
      </c>
      <c r="F275" s="17" t="str">
        <f>IF(TRIM(Raw_Data!F275)="","",TRIM(Raw_Data!F275))</f>
        <v>Brake Pad Set</v>
      </c>
      <c r="G275" s="17">
        <f>IF(Raw_Data!G275="","",IF(VALUE(Raw_Data!G275)&lt;=0,"Invalid",VALUE(Raw_Data!G275)))</f>
        <v>418</v>
      </c>
      <c r="H275" s="17" t="str">
        <f>IF(Raw_Data!H275="","",IF(VALUE(Raw_Data!H275)&lt;=0,"Invalid",VALUE(Raw_Data!H275)))</f>
        <v/>
      </c>
      <c r="I275" s="23">
        <f>IFERROR(VALUE(SUBSTITUTE(SUBSTITUTE(Raw_Data!I275,"₹",""),",","")),"")</f>
        <v>43303.16</v>
      </c>
      <c r="J275" s="17" t="str">
        <f>IF(TRIM(Raw_Data!J275)="","Not Specified",PROPER(TRIM(Raw_Data!J275)))</f>
        <v>Low</v>
      </c>
      <c r="K275" s="17" t="str">
        <f>IF(TRIM(Raw_Data!K275)="","Not Specified",IFERROR(INDEX(Lookup_Tables!$E$6:$E$13,MATCH(TRIM(Raw_Data!K275),Lookup_Tables!$D$6:$D$13,0)),"Unknown - Review"))</f>
        <v>Pending</v>
      </c>
      <c r="L275" s="17" t="str">
        <f>IF(TRIM(Raw_Data!L275)="","",PROPER(TRIM(Raw_Data!L275)))</f>
        <v>Unit Commander</v>
      </c>
      <c r="M275" s="22" t="str">
        <f>IF(Raw_Data!M275="","",IF(ISNUMBER(Raw_Data!M275),Raw_Data!M275,IF(ISNUMBER(SEARCH("/",Raw_Data!M275)),IFERROR(DATE(VALUE(RIGHT(Raw_Data!M275,4)),VALUE(MID(Raw_Data!M275,4,2)),VALUE(LEFT(Raw_Data!M275,2))),"Invalid Date"),IFERROR(DATEVALUE(Raw_Data!M275),"Invalid Date"))))</f>
        <v/>
      </c>
      <c r="N275" s="22" t="str">
        <f>IF(Raw_Data!N275="","",IF(ISNUMBER(Raw_Data!N275),Raw_Data!N275,IF(ISNUMBER(SEARCH("/",Raw_Data!N275)),IFERROR(DATE(VALUE(RIGHT(Raw_Data!N275,4)),VALUE(MID(Raw_Data!N275,4,2)),VALUE(LEFT(Raw_Data!N275,2))),"Invalid Date"),IFERROR(DATEVALUE(Raw_Data!N275),"Invalid Date"))))</f>
        <v/>
      </c>
      <c r="O275" s="22" t="str">
        <f>IF(Raw_Data!O275="","",IF(ISNUMBER(Raw_Data!O275),Raw_Data!O275,IF(ISNUMBER(SEARCH("/",Raw_Data!O275)),IFERROR(DATE(VALUE(RIGHT(Raw_Data!O275,4)),VALUE(MID(Raw_Data!O275,4,2)),VALUE(LEFT(Raw_Data!O275,2))),"Invalid Date"),IFERROR(DATEVALUE(Raw_Data!O275),"Invalid Date"))))</f>
        <v/>
      </c>
      <c r="P275" s="17" t="str">
        <f>IF(OR(TRIM(Raw_Data!P275)="",TRIM(Raw_Data!P275)="N/A",TRIM(Raw_Data!P275)="TBD",TRIM(Raw_Data!P275)="-"),"Not Assigned",PROPER(TRIM(Raw_Data!P275)))</f>
        <v>National Defence Stores</v>
      </c>
      <c r="Q275" s="24" t="str">
        <f t="shared" si="24"/>
        <v/>
      </c>
      <c r="R275" s="17" t="str">
        <f t="shared" si="25"/>
        <v/>
      </c>
      <c r="S275" s="17" t="str">
        <f>IF(COUNTIF($A$2:A275,A275)&gt;1,"Duplicate","Unique")</f>
        <v>Unique</v>
      </c>
      <c r="T275" s="17" t="str">
        <f t="shared" si="26"/>
        <v>No</v>
      </c>
      <c r="U275" s="17" t="str">
        <f t="shared" si="27"/>
        <v>No</v>
      </c>
      <c r="V275" s="17" t="str">
        <f t="shared" si="28"/>
        <v>Yes</v>
      </c>
      <c r="W275" s="17" t="str">
        <f t="shared" si="29"/>
        <v>Oct-2025</v>
      </c>
    </row>
    <row r="276" spans="1:23" x14ac:dyDescent="0.3">
      <c r="A276" s="17" t="str">
        <f>TRIM(Raw_Data!A276)</f>
        <v>REQ-2025-0275</v>
      </c>
      <c r="B276" s="22">
        <f>IF(Raw_Data!B276="","",IF(ISNUMBER(Raw_Data!B276),Raw_Data!B276,IF(ISNUMBER(SEARCH("/",Raw_Data!B276)),IFERROR(DATE(VALUE(RIGHT(Raw_Data!B276,4)),VALUE(MID(Raw_Data!B276,4,2)),VALUE(LEFT(Raw_Data!B276,2))),"Invalid Date"),IFERROR(DATEVALUE(Raw_Data!B276),"Invalid Date"))))</f>
        <v>45773</v>
      </c>
      <c r="C276" s="17" t="str">
        <f>IF(TRIM(Raw_Data!C276)="","",PROPER(TRIM(Raw_Data!C276)))</f>
        <v>Unit A - Infantry</v>
      </c>
      <c r="D276" s="17" t="str">
        <f>IF(TRIM(Raw_Data!D276)="","Not Specified",IFERROR(INDEX(Lookup_Tables!$H$6:$H$12,MATCH(TRIM(Raw_Data!D276),Lookup_Tables!$G$6:$G$12,0)),"Unknown - Review"))</f>
        <v>Northern</v>
      </c>
      <c r="E276" s="17" t="str">
        <f>IF(TRIM(Raw_Data!E276)="","Not Specified",IFERROR(INDEX(Lookup_Tables!$B$6:$B$18,MATCH(TRIM(Raw_Data!E276),Lookup_Tables!$A$6:$A$18,0)),"Unknown - Review"))</f>
        <v>Uniforms &amp; Clothing</v>
      </c>
      <c r="F276" s="17" t="str">
        <f>IF(TRIM(Raw_Data!F276)="","",TRIM(Raw_Data!F276))</f>
        <v>Woolen Gloves</v>
      </c>
      <c r="G276" s="17">
        <f>IF(Raw_Data!G276="","",IF(VALUE(Raw_Data!G276)&lt;=0,"Invalid",VALUE(Raw_Data!G276)))</f>
        <v>268</v>
      </c>
      <c r="H276" s="17">
        <f>IF(Raw_Data!H276="","",IF(VALUE(Raw_Data!H276)&lt;=0,"Invalid",VALUE(Raw_Data!H276)))</f>
        <v>334</v>
      </c>
      <c r="I276" s="23" t="str">
        <f>IFERROR(VALUE(SUBSTITUTE(SUBSTITUTE(Raw_Data!I276,"₹",""),",","")),"")</f>
        <v/>
      </c>
      <c r="J276" s="17" t="str">
        <f>IF(TRIM(Raw_Data!J276)="","Not Specified",PROPER(TRIM(Raw_Data!J276)))</f>
        <v>Low</v>
      </c>
      <c r="K276" s="17" t="str">
        <f>IF(TRIM(Raw_Data!K276)="","Not Specified",IFERROR(INDEX(Lookup_Tables!$E$6:$E$13,MATCH(TRIM(Raw_Data!K276),Lookup_Tables!$D$6:$D$13,0)),"Unknown - Review"))</f>
        <v>Approved</v>
      </c>
      <c r="L276" s="17" t="str">
        <f>IF(TRIM(Raw_Data!L276)="","",PROPER(TRIM(Raw_Data!L276)))</f>
        <v>Logistics Officer</v>
      </c>
      <c r="M276" s="22">
        <f>IF(Raw_Data!M276="","",IF(ISNUMBER(Raw_Data!M276),Raw_Data!M276,IF(ISNUMBER(SEARCH("/",Raw_Data!M276)),IFERROR(DATE(VALUE(RIGHT(Raw_Data!M276,4)),VALUE(MID(Raw_Data!M276,4,2)),VALUE(LEFT(Raw_Data!M276,2))),"Invalid Date"),IFERROR(DATEVALUE(Raw_Data!M276),"Invalid Date"))))</f>
        <v>45775</v>
      </c>
      <c r="N276" s="22">
        <f>IF(Raw_Data!N276="","",IF(ISNUMBER(Raw_Data!N276),Raw_Data!N276,IF(ISNUMBER(SEARCH("/",Raw_Data!N276)),IFERROR(DATE(VALUE(RIGHT(Raw_Data!N276,4)),VALUE(MID(Raw_Data!N276,4,2)),VALUE(LEFT(Raw_Data!N276,2))),"Invalid Date"),IFERROR(DATEVALUE(Raw_Data!N276),"Invalid Date"))))</f>
        <v>45790</v>
      </c>
      <c r="O276" s="22" t="str">
        <f>IF(Raw_Data!O276="","",IF(ISNUMBER(Raw_Data!O276),Raw_Data!O276,IF(ISNUMBER(SEARCH("/",Raw_Data!O276)),IFERROR(DATE(VALUE(RIGHT(Raw_Data!O276,4)),VALUE(MID(Raw_Data!O276,4,2)),VALUE(LEFT(Raw_Data!O276,2))),"Invalid Date"),IFERROR(DATEVALUE(Raw_Data!O276),"Invalid Date"))))</f>
        <v/>
      </c>
      <c r="P276" s="17" t="str">
        <f>IF(OR(TRIM(Raw_Data!P276)="",TRIM(Raw_Data!P276)="N/A",TRIM(Raw_Data!P276)="TBD",TRIM(Raw_Data!P276)="-"),"Not Assigned",PROPER(TRIM(Raw_Data!P276)))</f>
        <v>Vikram Enterprises</v>
      </c>
      <c r="Q276" s="24" t="str">
        <f t="shared" si="24"/>
        <v/>
      </c>
      <c r="R276" s="17" t="str">
        <f t="shared" si="25"/>
        <v/>
      </c>
      <c r="S276" s="17" t="str">
        <f>IF(COUNTIF($A$2:A276,A276)&gt;1,"Duplicate","Unique")</f>
        <v>Unique</v>
      </c>
      <c r="T276" s="17" t="str">
        <f t="shared" si="26"/>
        <v>No</v>
      </c>
      <c r="U276" s="17" t="str">
        <f t="shared" si="27"/>
        <v>Yes</v>
      </c>
      <c r="V276" s="17" t="str">
        <f t="shared" si="28"/>
        <v>No</v>
      </c>
      <c r="W276" s="17" t="str">
        <f t="shared" si="29"/>
        <v>Apr-2025</v>
      </c>
    </row>
    <row r="277" spans="1:23" x14ac:dyDescent="0.3">
      <c r="A277" s="17" t="str">
        <f>TRIM(Raw_Data!A277)</f>
        <v>REQ-2025-0276</v>
      </c>
      <c r="B277" s="22">
        <f>IF(Raw_Data!B277="","",IF(ISNUMBER(Raw_Data!B277),Raw_Data!B277,IF(ISNUMBER(SEARCH("/",Raw_Data!B277)),IFERROR(DATE(VALUE(RIGHT(Raw_Data!B277,4)),VALUE(MID(Raw_Data!B277,4,2)),VALUE(LEFT(Raw_Data!B277,2))),"Invalid Date"),IFERROR(DATEVALUE(Raw_Data!B277),"Invalid Date"))))</f>
        <v>45810</v>
      </c>
      <c r="C277" s="17" t="str">
        <f>IF(TRIM(Raw_Data!C277)="","",PROPER(TRIM(Raw_Data!C277)))</f>
        <v>Unit A - Infantry</v>
      </c>
      <c r="D277" s="17" t="str">
        <f>IF(TRIM(Raw_Data!D277)="","Not Specified",IFERROR(INDEX(Lookup_Tables!$H$6:$H$12,MATCH(TRIM(Raw_Data!D277),Lookup_Tables!$G$6:$G$12,0)),"Unknown - Review"))</f>
        <v>Northern</v>
      </c>
      <c r="E277" s="17" t="str">
        <f>IF(TRIM(Raw_Data!E277)="","Not Specified",IFERROR(INDEX(Lookup_Tables!$B$6:$B$18,MATCH(TRIM(Raw_Data!E277),Lookup_Tables!$A$6:$A$18,0)),"Unknown - Review"))</f>
        <v>Office &amp; IT Equipment</v>
      </c>
      <c r="F277" s="17" t="str">
        <f>IF(TRIM(Raw_Data!F277)="","",TRIM(Raw_Data!F277))</f>
        <v>Office Chair</v>
      </c>
      <c r="G277" s="17">
        <f>IF(Raw_Data!G277="","",IF(VALUE(Raw_Data!G277)&lt;=0,"Invalid",VALUE(Raw_Data!G277)))</f>
        <v>460</v>
      </c>
      <c r="H277" s="17" t="str">
        <f>IF(Raw_Data!H277="","",IF(VALUE(Raw_Data!H277)&lt;=0,"Invalid",VALUE(Raw_Data!H277)))</f>
        <v/>
      </c>
      <c r="I277" s="23">
        <f>IFERROR(VALUE(SUBSTITUTE(SUBSTITUTE(Raw_Data!I277,"₹",""),",","")),"")</f>
        <v>548</v>
      </c>
      <c r="J277" s="17" t="str">
        <f>IF(TRIM(Raw_Data!J277)="","Not Specified",PROPER(TRIM(Raw_Data!J277)))</f>
        <v>High</v>
      </c>
      <c r="K277" s="17" t="str">
        <f>IF(TRIM(Raw_Data!K277)="","Not Specified",IFERROR(INDEX(Lookup_Tables!$E$6:$E$13,MATCH(TRIM(Raw_Data!K277),Lookup_Tables!$D$6:$D$13,0)),"Unknown - Review"))</f>
        <v>Rejected</v>
      </c>
      <c r="L277" s="17" t="str">
        <f>IF(TRIM(Raw_Data!L277)="","",PROPER(TRIM(Raw_Data!L277)))</f>
        <v>Stores Officer</v>
      </c>
      <c r="M277" s="22" t="str">
        <f>IF(Raw_Data!M277="","",IF(ISNUMBER(Raw_Data!M277),Raw_Data!M277,IF(ISNUMBER(SEARCH("/",Raw_Data!M277)),IFERROR(DATE(VALUE(RIGHT(Raw_Data!M277,4)),VALUE(MID(Raw_Data!M277,4,2)),VALUE(LEFT(Raw_Data!M277,2))),"Invalid Date"),IFERROR(DATEVALUE(Raw_Data!M277),"Invalid Date"))))</f>
        <v/>
      </c>
      <c r="N277" s="22" t="str">
        <f>IF(Raw_Data!N277="","",IF(ISNUMBER(Raw_Data!N277),Raw_Data!N277,IF(ISNUMBER(SEARCH("/",Raw_Data!N277)),IFERROR(DATE(VALUE(RIGHT(Raw_Data!N277,4)),VALUE(MID(Raw_Data!N277,4,2)),VALUE(LEFT(Raw_Data!N277,2))),"Invalid Date"),IFERROR(DATEVALUE(Raw_Data!N277),"Invalid Date"))))</f>
        <v/>
      </c>
      <c r="O277" s="22" t="str">
        <f>IF(Raw_Data!O277="","",IF(ISNUMBER(Raw_Data!O277),Raw_Data!O277,IF(ISNUMBER(SEARCH("/",Raw_Data!O277)),IFERROR(DATE(VALUE(RIGHT(Raw_Data!O277,4)),VALUE(MID(Raw_Data!O277,4,2)),VALUE(LEFT(Raw_Data!O277,2))),"Invalid Date"),IFERROR(DATEVALUE(Raw_Data!O277),"Invalid Date"))))</f>
        <v/>
      </c>
      <c r="P277" s="17" t="str">
        <f>IF(OR(TRIM(Raw_Data!P277)="",TRIM(Raw_Data!P277)="N/A",TRIM(Raw_Data!P277)="TBD",TRIM(Raw_Data!P277)="-"),"Not Assigned",PROPER(TRIM(Raw_Data!P277)))</f>
        <v>Rapid Vendors Ltd</v>
      </c>
      <c r="Q277" s="24" t="str">
        <f t="shared" si="24"/>
        <v/>
      </c>
      <c r="R277" s="17" t="str">
        <f t="shared" si="25"/>
        <v/>
      </c>
      <c r="S277" s="17" t="str">
        <f>IF(COUNTIF($A$2:A277,A277)&gt;1,"Duplicate","Unique")</f>
        <v>Unique</v>
      </c>
      <c r="T277" s="17" t="str">
        <f t="shared" si="26"/>
        <v>No</v>
      </c>
      <c r="U277" s="17" t="str">
        <f t="shared" si="27"/>
        <v>No</v>
      </c>
      <c r="V277" s="17" t="str">
        <f t="shared" si="28"/>
        <v>Yes</v>
      </c>
      <c r="W277" s="17" t="str">
        <f t="shared" si="29"/>
        <v>Jun-2025</v>
      </c>
    </row>
    <row r="278" spans="1:23" x14ac:dyDescent="0.3">
      <c r="A278" s="17" t="str">
        <f>TRIM(Raw_Data!A278)</f>
        <v>REQ-2025-0277</v>
      </c>
      <c r="B278" s="22" t="str">
        <f>IF(Raw_Data!B278="","",IF(ISNUMBER(Raw_Data!B278),Raw_Data!B278,IF(ISNUMBER(SEARCH("/",Raw_Data!B278)),IFERROR(DATE(VALUE(RIGHT(Raw_Data!B278,4)),VALUE(MID(Raw_Data!B278,4,2)),VALUE(LEFT(Raw_Data!B278,2))),"Invalid Date"),IFERROR(DATEVALUE(Raw_Data!B278),"Invalid Date"))))</f>
        <v/>
      </c>
      <c r="C278" s="17" t="str">
        <f>IF(TRIM(Raw_Data!C278)="","",PROPER(TRIM(Raw_Data!C278)))</f>
        <v>Unit H - Air Defence</v>
      </c>
      <c r="D278" s="17" t="str">
        <f>IF(TRIM(Raw_Data!D278)="","Not Specified",IFERROR(INDEX(Lookup_Tables!$H$6:$H$12,MATCH(TRIM(Raw_Data!D278),Lookup_Tables!$G$6:$G$12,0)),"Unknown - Review"))</f>
        <v>Eastern</v>
      </c>
      <c r="E278" s="17" t="str">
        <f>IF(TRIM(Raw_Data!E278)="","Not Specified",IFERROR(INDEX(Lookup_Tables!$B$6:$B$18,MATCH(TRIM(Raw_Data!E278),Lookup_Tables!$A$6:$A$18,0)),"Unknown - Review"))</f>
        <v>Office &amp; IT Equipment</v>
      </c>
      <c r="F278" s="17" t="str">
        <f>IF(TRIM(Raw_Data!F278)="","",TRIM(Raw_Data!F278))</f>
        <v>Laser Printer</v>
      </c>
      <c r="G278" s="17">
        <f>IF(Raw_Data!G278="","",IF(VALUE(Raw_Data!G278)&lt;=0,"Invalid",VALUE(Raw_Data!G278)))</f>
        <v>188</v>
      </c>
      <c r="H278" s="17" t="str">
        <f>IF(Raw_Data!H278="","",IF(VALUE(Raw_Data!H278)&lt;=0,"Invalid",VALUE(Raw_Data!H278)))</f>
        <v/>
      </c>
      <c r="I278" s="23">
        <f>IFERROR(VALUE(SUBSTITUTE(SUBSTITUTE(Raw_Data!I278,"₹",""),",","")),"")</f>
        <v>5113.3500000000004</v>
      </c>
      <c r="J278" s="17" t="str">
        <f>IF(TRIM(Raw_Data!J278)="","Not Specified",PROPER(TRIM(Raw_Data!J278)))</f>
        <v>Routine</v>
      </c>
      <c r="K278" s="17" t="str">
        <f>IF(TRIM(Raw_Data!K278)="","Not Specified",IFERROR(INDEX(Lookup_Tables!$E$6:$E$13,MATCH(TRIM(Raw_Data!K278),Lookup_Tables!$D$6:$D$13,0)),"Unknown - Review"))</f>
        <v>Rejected</v>
      </c>
      <c r="L278" s="17" t="str">
        <f>IF(TRIM(Raw_Data!L278)="","",PROPER(TRIM(Raw_Data!L278)))</f>
        <v>Quartermaster</v>
      </c>
      <c r="M278" s="22" t="str">
        <f>IF(Raw_Data!M278="","",IF(ISNUMBER(Raw_Data!M278),Raw_Data!M278,IF(ISNUMBER(SEARCH("/",Raw_Data!M278)),IFERROR(DATE(VALUE(RIGHT(Raw_Data!M278,4)),VALUE(MID(Raw_Data!M278,4,2)),VALUE(LEFT(Raw_Data!M278,2))),"Invalid Date"),IFERROR(DATEVALUE(Raw_Data!M278),"Invalid Date"))))</f>
        <v/>
      </c>
      <c r="N278" s="22" t="str">
        <f>IF(Raw_Data!N278="","",IF(ISNUMBER(Raw_Data!N278),Raw_Data!N278,IF(ISNUMBER(SEARCH("/",Raw_Data!N278)),IFERROR(DATE(VALUE(RIGHT(Raw_Data!N278,4)),VALUE(MID(Raw_Data!N278,4,2)),VALUE(LEFT(Raw_Data!N278,2))),"Invalid Date"),IFERROR(DATEVALUE(Raw_Data!N278),"Invalid Date"))))</f>
        <v/>
      </c>
      <c r="O278" s="22" t="str">
        <f>IF(Raw_Data!O278="","",IF(ISNUMBER(Raw_Data!O278),Raw_Data!O278,IF(ISNUMBER(SEARCH("/",Raw_Data!O278)),IFERROR(DATE(VALUE(RIGHT(Raw_Data!O278,4)),VALUE(MID(Raw_Data!O278,4,2)),VALUE(LEFT(Raw_Data!O278,2))),"Invalid Date"),IFERROR(DATEVALUE(Raw_Data!O278),"Invalid Date"))))</f>
        <v/>
      </c>
      <c r="P278" s="17" t="str">
        <f>IF(OR(TRIM(Raw_Data!P278)="",TRIM(Raw_Data!P278)="N/A",TRIM(Raw_Data!P278)="TBD",TRIM(Raw_Data!P278)="-"),"Not Assigned",PROPER(TRIM(Raw_Data!P278)))</f>
        <v>Shakti Traders</v>
      </c>
      <c r="Q278" s="24" t="str">
        <f t="shared" si="24"/>
        <v/>
      </c>
      <c r="R278" s="17" t="str">
        <f t="shared" si="25"/>
        <v/>
      </c>
      <c r="S278" s="17" t="str">
        <f>IF(COUNTIF($A$2:A278,A278)&gt;1,"Duplicate","Unique")</f>
        <v>Unique</v>
      </c>
      <c r="T278" s="17" t="str">
        <f t="shared" si="26"/>
        <v>No</v>
      </c>
      <c r="U278" s="17" t="str">
        <f t="shared" si="27"/>
        <v>No</v>
      </c>
      <c r="V278" s="17" t="str">
        <f t="shared" si="28"/>
        <v>Yes</v>
      </c>
      <c r="W278" s="17" t="str">
        <f t="shared" si="29"/>
        <v/>
      </c>
    </row>
    <row r="279" spans="1:23" x14ac:dyDescent="0.3">
      <c r="A279" s="17" t="str">
        <f>TRIM(Raw_Data!A279)</f>
        <v>REQ-2025-0278</v>
      </c>
      <c r="B279" s="22">
        <f>IF(Raw_Data!B279="","",IF(ISNUMBER(Raw_Data!B279),Raw_Data!B279,IF(ISNUMBER(SEARCH("/",Raw_Data!B279)),IFERROR(DATE(VALUE(RIGHT(Raw_Data!B279,4)),VALUE(MID(Raw_Data!B279,4,2)),VALUE(LEFT(Raw_Data!B279,2))),"Invalid Date"),IFERROR(DATEVALUE(Raw_Data!B279),"Invalid Date"))))</f>
        <v>45714</v>
      </c>
      <c r="C279" s="17" t="str">
        <f>IF(TRIM(Raw_Data!C279)="","",PROPER(TRIM(Raw_Data!C279)))</f>
        <v>Unit G - Transport Corps</v>
      </c>
      <c r="D279" s="17" t="str">
        <f>IF(TRIM(Raw_Data!D279)="","Not Specified",IFERROR(INDEX(Lookup_Tables!$H$6:$H$12,MATCH(TRIM(Raw_Data!D279),Lookup_Tables!$G$6:$G$12,0)),"Unknown - Review"))</f>
        <v>Southern</v>
      </c>
      <c r="E279" s="17" t="str">
        <f>IF(TRIM(Raw_Data!E279)="","Not Specified",IFERROR(INDEX(Lookup_Tables!$B$6:$B$18,MATCH(TRIM(Raw_Data!E279),Lookup_Tables!$A$6:$A$18,0)),"Unknown - Review"))</f>
        <v>Construction Material</v>
      </c>
      <c r="F279" s="17" t="str">
        <f>IF(TRIM(Raw_Data!F279)="","",TRIM(Raw_Data!F279))</f>
        <v>Steel Rod Bundle</v>
      </c>
      <c r="G279" s="17">
        <f>IF(Raw_Data!G279="","",IF(VALUE(Raw_Data!G279)&lt;=0,"Invalid",VALUE(Raw_Data!G279)))</f>
        <v>84</v>
      </c>
      <c r="H279" s="17">
        <f>IF(Raw_Data!H279="","",IF(VALUE(Raw_Data!H279)&lt;=0,"Invalid",VALUE(Raw_Data!H279)))</f>
        <v>109</v>
      </c>
      <c r="I279" s="23">
        <f>IFERROR(VALUE(SUBSTITUTE(SUBSTITUTE(Raw_Data!I279,"₹",""),",","")),"")</f>
        <v>2483.9899999999998</v>
      </c>
      <c r="J279" s="17" t="str">
        <f>IF(TRIM(Raw_Data!J279)="","Not Specified",PROPER(TRIM(Raw_Data!J279)))</f>
        <v>High</v>
      </c>
      <c r="K279" s="17" t="str">
        <f>IF(TRIM(Raw_Data!K279)="","Not Specified",IFERROR(INDEX(Lookup_Tables!$E$6:$E$13,MATCH(TRIM(Raw_Data!K279),Lookup_Tables!$D$6:$D$13,0)),"Unknown - Review"))</f>
        <v>Delivered</v>
      </c>
      <c r="L279" s="17" t="str">
        <f>IF(TRIM(Raw_Data!L279)="","",PROPER(TRIM(Raw_Data!L279)))</f>
        <v>Logistics Officer</v>
      </c>
      <c r="M279" s="22">
        <f>IF(Raw_Data!M279="","",IF(ISNUMBER(Raw_Data!M279),Raw_Data!M279,IF(ISNUMBER(SEARCH("/",Raw_Data!M279)),IFERROR(DATE(VALUE(RIGHT(Raw_Data!M279,4)),VALUE(MID(Raw_Data!M279,4,2)),VALUE(LEFT(Raw_Data!M279,2))),"Invalid Date"),IFERROR(DATEVALUE(Raw_Data!M279),"Invalid Date"))))</f>
        <v>45720</v>
      </c>
      <c r="N279" s="22">
        <f>IF(Raw_Data!N279="","",IF(ISNUMBER(Raw_Data!N279),Raw_Data!N279,IF(ISNUMBER(SEARCH("/",Raw_Data!N279)),IFERROR(DATE(VALUE(RIGHT(Raw_Data!N279,4)),VALUE(MID(Raw_Data!N279,4,2)),VALUE(LEFT(Raw_Data!N279,2))),"Invalid Date"),IFERROR(DATEVALUE(Raw_Data!N279),"Invalid Date"))))</f>
        <v>45738</v>
      </c>
      <c r="O279" s="22">
        <f>IF(Raw_Data!O279="","",IF(ISNUMBER(Raw_Data!O279),Raw_Data!O279,IF(ISNUMBER(SEARCH("/",Raw_Data!O279)),IFERROR(DATE(VALUE(RIGHT(Raw_Data!O279,4)),VALUE(MID(Raw_Data!O279,4,2)),VALUE(LEFT(Raw_Data!O279,2))),"Invalid Date"),IFERROR(DATEVALUE(Raw_Data!O279),"Invalid Date"))))</f>
        <v>45752</v>
      </c>
      <c r="P279" s="17" t="str">
        <f>IF(OR(TRIM(Raw_Data!P279)="",TRIM(Raw_Data!P279)="N/A",TRIM(Raw_Data!P279)="TBD",TRIM(Raw_Data!P279)="-"),"Not Assigned",PROPER(TRIM(Raw_Data!P279)))</f>
        <v>Bharat Logistics Pvt Ltd</v>
      </c>
      <c r="Q279" s="24">
        <f t="shared" si="24"/>
        <v>270754.90999999997</v>
      </c>
      <c r="R279" s="17">
        <f t="shared" si="25"/>
        <v>14</v>
      </c>
      <c r="S279" s="17" t="str">
        <f>IF(COUNTIF($A$2:A279,A279)&gt;1,"Duplicate","Unique")</f>
        <v>Unique</v>
      </c>
      <c r="T279" s="17" t="str">
        <f t="shared" si="26"/>
        <v>No</v>
      </c>
      <c r="U279" s="17" t="str">
        <f t="shared" si="27"/>
        <v>Yes</v>
      </c>
      <c r="V279" s="17" t="str">
        <f t="shared" si="28"/>
        <v>No</v>
      </c>
      <c r="W279" s="17" t="str">
        <f t="shared" si="29"/>
        <v>Feb-2025</v>
      </c>
    </row>
    <row r="280" spans="1:23" x14ac:dyDescent="0.3">
      <c r="A280" s="17" t="str">
        <f>TRIM(Raw_Data!A280)</f>
        <v>REQ-2025-0279</v>
      </c>
      <c r="B280" s="22" t="str">
        <f>IF(Raw_Data!B280="","",IF(ISNUMBER(Raw_Data!B280),Raw_Data!B280,IF(ISNUMBER(SEARCH("/",Raw_Data!B280)),IFERROR(DATE(VALUE(RIGHT(Raw_Data!B280,4)),VALUE(MID(Raw_Data!B280,4,2)),VALUE(LEFT(Raw_Data!B280,2))),"Invalid Date"),IFERROR(DATEVALUE(Raw_Data!B280),"Invalid Date"))))</f>
        <v/>
      </c>
      <c r="C280" s="17" t="str">
        <f>IF(TRIM(Raw_Data!C280)="","",PROPER(TRIM(Raw_Data!C280)))</f>
        <v>Unit C - Engineers</v>
      </c>
      <c r="D280" s="17" t="str">
        <f>IF(TRIM(Raw_Data!D280)="","Not Specified",IFERROR(INDEX(Lookup_Tables!$H$6:$H$12,MATCH(TRIM(Raw_Data!D280),Lookup_Tables!$G$6:$G$12,0)),"Unknown - Review"))</f>
        <v>Eastern</v>
      </c>
      <c r="E280" s="17" t="str">
        <f>IF(TRIM(Raw_Data!E280)="","Not Specified",IFERROR(INDEX(Lookup_Tables!$B$6:$B$18,MATCH(TRIM(Raw_Data!E280),Lookup_Tables!$A$6:$A$18,0)),"Unknown - Review"))</f>
        <v>Uniforms &amp; Clothing</v>
      </c>
      <c r="F280" s="17" t="str">
        <f>IF(TRIM(Raw_Data!F280)="","",TRIM(Raw_Data!F280))</f>
        <v>Winter Jacket</v>
      </c>
      <c r="G280" s="17">
        <f>IF(Raw_Data!G280="","",IF(VALUE(Raw_Data!G280)&lt;=0,"Invalid",VALUE(Raw_Data!G280)))</f>
        <v>103</v>
      </c>
      <c r="H280" s="17" t="str">
        <f>IF(Raw_Data!H280="","",IF(VALUE(Raw_Data!H280)&lt;=0,"Invalid",VALUE(Raw_Data!H280)))</f>
        <v/>
      </c>
      <c r="I280" s="23">
        <f>IFERROR(VALUE(SUBSTITUTE(SUBSTITUTE(Raw_Data!I280,"₹",""),",","")),"")</f>
        <v>19270</v>
      </c>
      <c r="J280" s="17" t="str">
        <f>IF(TRIM(Raw_Data!J280)="","Not Specified",PROPER(TRIM(Raw_Data!J280)))</f>
        <v>High</v>
      </c>
      <c r="K280" s="17" t="str">
        <f>IF(TRIM(Raw_Data!K280)="","Not Specified",IFERROR(INDEX(Lookup_Tables!$E$6:$E$13,MATCH(TRIM(Raw_Data!K280),Lookup_Tables!$D$6:$D$13,0)),"Unknown - Review"))</f>
        <v>Pending</v>
      </c>
      <c r="L280" s="17" t="str">
        <f>IF(TRIM(Raw_Data!L280)="","",PROPER(TRIM(Raw_Data!L280)))</f>
        <v>Stores Officer</v>
      </c>
      <c r="M280" s="22" t="str">
        <f>IF(Raw_Data!M280="","",IF(ISNUMBER(Raw_Data!M280),Raw_Data!M280,IF(ISNUMBER(SEARCH("/",Raw_Data!M280)),IFERROR(DATE(VALUE(RIGHT(Raw_Data!M280,4)),VALUE(MID(Raw_Data!M280,4,2)),VALUE(LEFT(Raw_Data!M280,2))),"Invalid Date"),IFERROR(DATEVALUE(Raw_Data!M280),"Invalid Date"))))</f>
        <v/>
      </c>
      <c r="N280" s="22" t="str">
        <f>IF(Raw_Data!N280="","",IF(ISNUMBER(Raw_Data!N280),Raw_Data!N280,IF(ISNUMBER(SEARCH("/",Raw_Data!N280)),IFERROR(DATE(VALUE(RIGHT(Raw_Data!N280,4)),VALUE(MID(Raw_Data!N280,4,2)),VALUE(LEFT(Raw_Data!N280,2))),"Invalid Date"),IFERROR(DATEVALUE(Raw_Data!N280),"Invalid Date"))))</f>
        <v/>
      </c>
      <c r="O280" s="22" t="str">
        <f>IF(Raw_Data!O280="","",IF(ISNUMBER(Raw_Data!O280),Raw_Data!O280,IF(ISNUMBER(SEARCH("/",Raw_Data!O280)),IFERROR(DATE(VALUE(RIGHT(Raw_Data!O280,4)),VALUE(MID(Raw_Data!O280,4,2)),VALUE(LEFT(Raw_Data!O280,2))),"Invalid Date"),IFERROR(DATEVALUE(Raw_Data!O280),"Invalid Date"))))</f>
        <v/>
      </c>
      <c r="P280" s="17" t="str">
        <f>IF(OR(TRIM(Raw_Data!P280)="",TRIM(Raw_Data!P280)="N/A",TRIM(Raw_Data!P280)="TBD",TRIM(Raw_Data!P280)="-"),"Not Assigned",PROPER(TRIM(Raw_Data!P280)))</f>
        <v>Not Assigned</v>
      </c>
      <c r="Q280" s="24" t="str">
        <f t="shared" si="24"/>
        <v/>
      </c>
      <c r="R280" s="17" t="str">
        <f t="shared" si="25"/>
        <v/>
      </c>
      <c r="S280" s="17" t="str">
        <f>IF(COUNTIF($A$2:A280,A280)&gt;1,"Duplicate","Unique")</f>
        <v>Unique</v>
      </c>
      <c r="T280" s="17" t="str">
        <f t="shared" si="26"/>
        <v>No</v>
      </c>
      <c r="U280" s="17" t="str">
        <f t="shared" si="27"/>
        <v>No</v>
      </c>
      <c r="V280" s="17" t="str">
        <f t="shared" si="28"/>
        <v>Yes</v>
      </c>
      <c r="W280" s="17" t="str">
        <f t="shared" si="29"/>
        <v/>
      </c>
    </row>
    <row r="281" spans="1:23" x14ac:dyDescent="0.3">
      <c r="A281" s="17" t="str">
        <f>TRIM(Raw_Data!A281)</f>
        <v>REQ-2025-0280</v>
      </c>
      <c r="B281" s="22" t="str">
        <f>IF(Raw_Data!B281="","",IF(ISNUMBER(Raw_Data!B281),Raw_Data!B281,IF(ISNUMBER(SEARCH("/",Raw_Data!B281)),IFERROR(DATE(VALUE(RIGHT(Raw_Data!B281,4)),VALUE(MID(Raw_Data!B281,4,2)),VALUE(LEFT(Raw_Data!B281,2))),"Invalid Date"),IFERROR(DATEVALUE(Raw_Data!B281),"Invalid Date"))))</f>
        <v/>
      </c>
      <c r="C281" s="17" t="str">
        <f>IF(TRIM(Raw_Data!C281)="","",PROPER(TRIM(Raw_Data!C281)))</f>
        <v>Unit F - Ordnance Depot</v>
      </c>
      <c r="D281" s="17" t="str">
        <f>IF(TRIM(Raw_Data!D281)="","Not Specified",IFERROR(INDEX(Lookup_Tables!$H$6:$H$12,MATCH(TRIM(Raw_Data!D281),Lookup_Tables!$G$6:$G$12,0)),"Unknown - Review"))</f>
        <v>Southern</v>
      </c>
      <c r="E281" s="17" t="str">
        <f>IF(TRIM(Raw_Data!E281)="","Not Specified",IFERROR(INDEX(Lookup_Tables!$B$6:$B$18,MATCH(TRIM(Raw_Data!E281),Lookup_Tables!$A$6:$A$18,0)),"Unknown - Review"))</f>
        <v>Rations</v>
      </c>
      <c r="F281" s="17" t="str">
        <f>IF(TRIM(Raw_Data!F281)="","",TRIM(Raw_Data!F281))</f>
        <v>Dry Ration Pack</v>
      </c>
      <c r="G281" s="17">
        <f>IF(Raw_Data!G281="","",IF(VALUE(Raw_Data!G281)&lt;=0,"Invalid",VALUE(Raw_Data!G281)))</f>
        <v>151</v>
      </c>
      <c r="H281" s="17">
        <f>IF(Raw_Data!H281="","",IF(VALUE(Raw_Data!H281)&lt;=0,"Invalid",VALUE(Raw_Data!H281)))</f>
        <v>110</v>
      </c>
      <c r="I281" s="23">
        <f>IFERROR(VALUE(SUBSTITUTE(SUBSTITUTE(Raw_Data!I281,"₹",""),",","")),"")</f>
        <v>8440.07</v>
      </c>
      <c r="J281" s="17" t="str">
        <f>IF(TRIM(Raw_Data!J281)="","Not Specified",PROPER(TRIM(Raw_Data!J281)))</f>
        <v>Low</v>
      </c>
      <c r="K281" s="17" t="str">
        <f>IF(TRIM(Raw_Data!K281)="","Not Specified",IFERROR(INDEX(Lookup_Tables!$E$6:$E$13,MATCH(TRIM(Raw_Data!K281),Lookup_Tables!$D$6:$D$13,0)),"Unknown - Review"))</f>
        <v>Delivered</v>
      </c>
      <c r="L281" s="17" t="str">
        <f>IF(TRIM(Raw_Data!L281)="","",PROPER(TRIM(Raw_Data!L281)))</f>
        <v>Logistics Officer</v>
      </c>
      <c r="M281" s="22" t="str">
        <f>IF(Raw_Data!M281="","",IF(ISNUMBER(Raw_Data!M281),Raw_Data!M281,IF(ISNUMBER(SEARCH("/",Raw_Data!M281)),IFERROR(DATE(VALUE(RIGHT(Raw_Data!M281,4)),VALUE(MID(Raw_Data!M281,4,2)),VALUE(LEFT(Raw_Data!M281,2))),"Invalid Date"),IFERROR(DATEVALUE(Raw_Data!M281),"Invalid Date"))))</f>
        <v/>
      </c>
      <c r="N281" s="22" t="str">
        <f>IF(Raw_Data!N281="","",IF(ISNUMBER(Raw_Data!N281),Raw_Data!N281,IF(ISNUMBER(SEARCH("/",Raw_Data!N281)),IFERROR(DATE(VALUE(RIGHT(Raw_Data!N281,4)),VALUE(MID(Raw_Data!N281,4,2)),VALUE(LEFT(Raw_Data!N281,2))),"Invalid Date"),IFERROR(DATEVALUE(Raw_Data!N281),"Invalid Date"))))</f>
        <v/>
      </c>
      <c r="O281" s="22">
        <f>IF(Raw_Data!O281="","",IF(ISNUMBER(Raw_Data!O281),Raw_Data!O281,IF(ISNUMBER(SEARCH("/",Raw_Data!O281)),IFERROR(DATE(VALUE(RIGHT(Raw_Data!O281,4)),VALUE(MID(Raw_Data!O281,4,2)),VALUE(LEFT(Raw_Data!O281,2))),"Invalid Date"),IFERROR(DATEVALUE(Raw_Data!O281),"Invalid Date"))))</f>
        <v>45713</v>
      </c>
      <c r="P281" s="17" t="str">
        <f>IF(OR(TRIM(Raw_Data!P281)="",TRIM(Raw_Data!P281)="N/A",TRIM(Raw_Data!P281)="TBD",TRIM(Raw_Data!P281)="-"),"Not Assigned",PROPER(TRIM(Raw_Data!P281)))</f>
        <v>Shakti Traders</v>
      </c>
      <c r="Q281" s="24">
        <f t="shared" si="24"/>
        <v>928407.7</v>
      </c>
      <c r="R281" s="17" t="str">
        <f t="shared" si="25"/>
        <v/>
      </c>
      <c r="S281" s="17" t="str">
        <f>IF(COUNTIF($A$2:A281,A281)&gt;1,"Duplicate","Unique")</f>
        <v>Unique</v>
      </c>
      <c r="T281" s="17" t="str">
        <f t="shared" si="26"/>
        <v>No</v>
      </c>
      <c r="U281" s="17" t="str">
        <f t="shared" si="27"/>
        <v>No</v>
      </c>
      <c r="V281" s="17" t="str">
        <f t="shared" si="28"/>
        <v>Yes</v>
      </c>
      <c r="W281" s="17" t="str">
        <f t="shared" si="29"/>
        <v/>
      </c>
    </row>
    <row r="282" spans="1:23" x14ac:dyDescent="0.3">
      <c r="A282" s="17" t="str">
        <f>TRIM(Raw_Data!A282)</f>
        <v>REQ-2025-0281</v>
      </c>
      <c r="B282" s="22">
        <f>IF(Raw_Data!B282="","",IF(ISNUMBER(Raw_Data!B282),Raw_Data!B282,IF(ISNUMBER(SEARCH("/",Raw_Data!B282)),IFERROR(DATE(VALUE(RIGHT(Raw_Data!B282,4)),VALUE(MID(Raw_Data!B282,4,2)),VALUE(LEFT(Raw_Data!B282,2))),"Invalid Date"),IFERROR(DATEVALUE(Raw_Data!B282),"Invalid Date"))))</f>
        <v>45696</v>
      </c>
      <c r="C282" s="17" t="str">
        <f>IF(TRIM(Raw_Data!C282)="","",PROPER(TRIM(Raw_Data!C282)))</f>
        <v>Unit D - Signals</v>
      </c>
      <c r="D282" s="17" t="str">
        <f>IF(TRIM(Raw_Data!D282)="","Not Specified",IFERROR(INDEX(Lookup_Tables!$H$6:$H$12,MATCH(TRIM(Raw_Data!D282),Lookup_Tables!$G$6:$G$12,0)),"Unknown - Review"))</f>
        <v>Western</v>
      </c>
      <c r="E282" s="17" t="str">
        <f>IF(TRIM(Raw_Data!E282)="","Not Specified",IFERROR(INDEX(Lookup_Tables!$B$6:$B$18,MATCH(TRIM(Raw_Data!E282),Lookup_Tables!$A$6:$A$18,0)),"Unknown - Review"))</f>
        <v>Office &amp; IT Equipment</v>
      </c>
      <c r="F282" s="17" t="str">
        <f>IF(TRIM(Raw_Data!F282)="","",TRIM(Raw_Data!F282))</f>
        <v>Desktop Computer</v>
      </c>
      <c r="G282" s="17">
        <f>IF(Raw_Data!G282="","",IF(VALUE(Raw_Data!G282)&lt;=0,"Invalid",VALUE(Raw_Data!G282)))</f>
        <v>376</v>
      </c>
      <c r="H282" s="17">
        <f>IF(Raw_Data!H282="","",IF(VALUE(Raw_Data!H282)&lt;=0,"Invalid",VALUE(Raw_Data!H282)))</f>
        <v>323</v>
      </c>
      <c r="I282" s="23">
        <f>IFERROR(VALUE(SUBSTITUTE(SUBSTITUTE(Raw_Data!I282,"₹",""),",","")),"")</f>
        <v>7042.21</v>
      </c>
      <c r="J282" s="17" t="str">
        <f>IF(TRIM(Raw_Data!J282)="","Not Specified",PROPER(TRIM(Raw_Data!J282)))</f>
        <v>Low</v>
      </c>
      <c r="K282" s="17" t="str">
        <f>IF(TRIM(Raw_Data!K282)="","Not Specified",IFERROR(INDEX(Lookup_Tables!$E$6:$E$13,MATCH(TRIM(Raw_Data!K282),Lookup_Tables!$D$6:$D$13,0)),"Unknown - Review"))</f>
        <v>Delivered</v>
      </c>
      <c r="L282" s="17" t="str">
        <f>IF(TRIM(Raw_Data!L282)="","",PROPER(TRIM(Raw_Data!L282)))</f>
        <v>Stores Officer</v>
      </c>
      <c r="M282" s="22">
        <f>IF(Raw_Data!M282="","",IF(ISNUMBER(Raw_Data!M282),Raw_Data!M282,IF(ISNUMBER(SEARCH("/",Raw_Data!M282)),IFERROR(DATE(VALUE(RIGHT(Raw_Data!M282,4)),VALUE(MID(Raw_Data!M282,4,2)),VALUE(LEFT(Raw_Data!M282,2))),"Invalid Date"),IFERROR(DATEVALUE(Raw_Data!M282),"Invalid Date"))))</f>
        <v>45699</v>
      </c>
      <c r="N282" s="22">
        <f>IF(Raw_Data!N282="","",IF(ISNUMBER(Raw_Data!N282),Raw_Data!N282,IF(ISNUMBER(SEARCH("/",Raw_Data!N282)),IFERROR(DATE(VALUE(RIGHT(Raw_Data!N282,4)),VALUE(MID(Raw_Data!N282,4,2)),VALUE(LEFT(Raw_Data!N282,2))),"Invalid Date"),IFERROR(DATEVALUE(Raw_Data!N282),"Invalid Date"))))</f>
        <v>45710</v>
      </c>
      <c r="O282" s="22">
        <f>IF(Raw_Data!O282="","",IF(ISNUMBER(Raw_Data!O282),Raw_Data!O282,IF(ISNUMBER(SEARCH("/",Raw_Data!O282)),IFERROR(DATE(VALUE(RIGHT(Raw_Data!O282,4)),VALUE(MID(Raw_Data!O282,4,2)),VALUE(LEFT(Raw_Data!O282,2))),"Invalid Date"),IFERROR(DATEVALUE(Raw_Data!O282),"Invalid Date"))))</f>
        <v>45718</v>
      </c>
      <c r="P282" s="17" t="str">
        <f>IF(OR(TRIM(Raw_Data!P282)="",TRIM(Raw_Data!P282)="N/A",TRIM(Raw_Data!P282)="TBD",TRIM(Raw_Data!P282)="-"),"Not Assigned",PROPER(TRIM(Raw_Data!P282)))</f>
        <v>Shakti Traders</v>
      </c>
      <c r="Q282" s="24">
        <f t="shared" si="24"/>
        <v>2274633.83</v>
      </c>
      <c r="R282" s="17">
        <f t="shared" si="25"/>
        <v>8</v>
      </c>
      <c r="S282" s="17" t="str">
        <f>IF(COUNTIF($A$2:A282,A282)&gt;1,"Duplicate","Unique")</f>
        <v>Unique</v>
      </c>
      <c r="T282" s="17" t="str">
        <f t="shared" si="26"/>
        <v>No</v>
      </c>
      <c r="U282" s="17" t="str">
        <f t="shared" si="27"/>
        <v>No</v>
      </c>
      <c r="V282" s="17" t="str">
        <f t="shared" si="28"/>
        <v>Yes</v>
      </c>
      <c r="W282" s="17" t="str">
        <f t="shared" si="29"/>
        <v>Feb-2025</v>
      </c>
    </row>
    <row r="283" spans="1:23" x14ac:dyDescent="0.3">
      <c r="A283" s="17" t="str">
        <f>TRIM(Raw_Data!A283)</f>
        <v>REQ-2025-0282</v>
      </c>
      <c r="B283" s="22">
        <f>IF(Raw_Data!B283="","",IF(ISNUMBER(Raw_Data!B283),Raw_Data!B283,IF(ISNUMBER(SEARCH("/",Raw_Data!B283)),IFERROR(DATE(VALUE(RIGHT(Raw_Data!B283,4)),VALUE(MID(Raw_Data!B283,4,2)),VALUE(LEFT(Raw_Data!B283,2))),"Invalid Date"),IFERROR(DATEVALUE(Raw_Data!B283),"Invalid Date"))))</f>
        <v>45911</v>
      </c>
      <c r="C283" s="17" t="str">
        <f>IF(TRIM(Raw_Data!C283)="","",PROPER(TRIM(Raw_Data!C283)))</f>
        <v>Unit A - Infantry</v>
      </c>
      <c r="D283" s="17" t="str">
        <f>IF(TRIM(Raw_Data!D283)="","Not Specified",IFERROR(INDEX(Lookup_Tables!$H$6:$H$12,MATCH(TRIM(Raw_Data!D283),Lookup_Tables!$G$6:$G$12,0)),"Unknown - Review"))</f>
        <v>Northern</v>
      </c>
      <c r="E283" s="17" t="str">
        <f>IF(TRIM(Raw_Data!E283)="","Not Specified",IFERROR(INDEX(Lookup_Tables!$B$6:$B$18,MATCH(TRIM(Raw_Data!E283),Lookup_Tables!$A$6:$A$18,0)),"Unknown - Review"))</f>
        <v>Medical Supplies</v>
      </c>
      <c r="F283" s="17" t="str">
        <f>IF(TRIM(Raw_Data!F283)="","",TRIM(Raw_Data!F283))</f>
        <v>Antiseptic Solution (5L)</v>
      </c>
      <c r="G283" s="17">
        <f>IF(Raw_Data!G283="","",IF(VALUE(Raw_Data!G283)&lt;=0,"Invalid",VALUE(Raw_Data!G283)))</f>
        <v>229</v>
      </c>
      <c r="H283" s="17">
        <f>IF(Raw_Data!H283="","",IF(VALUE(Raw_Data!H283)&lt;=0,"Invalid",VALUE(Raw_Data!H283)))</f>
        <v>213</v>
      </c>
      <c r="I283" s="23">
        <f>IFERROR(VALUE(SUBSTITUTE(SUBSTITUTE(Raw_Data!I283,"₹",""),",","")),"")</f>
        <v>18128.080000000002</v>
      </c>
      <c r="J283" s="17" t="str">
        <f>IF(TRIM(Raw_Data!J283)="","Not Specified",PROPER(TRIM(Raw_Data!J283)))</f>
        <v>High</v>
      </c>
      <c r="K283" s="17" t="str">
        <f>IF(TRIM(Raw_Data!K283)="","Not Specified",IFERROR(INDEX(Lookup_Tables!$E$6:$E$13,MATCH(TRIM(Raw_Data!K283),Lookup_Tables!$D$6:$D$13,0)),"Unknown - Review"))</f>
        <v>Delivered</v>
      </c>
      <c r="L283" s="17" t="str">
        <f>IF(TRIM(Raw_Data!L283)="","",PROPER(TRIM(Raw_Data!L283)))</f>
        <v>Logistics Officer</v>
      </c>
      <c r="M283" s="22" t="str">
        <f>IF(Raw_Data!M283="","",IF(ISNUMBER(Raw_Data!M283),Raw_Data!M283,IF(ISNUMBER(SEARCH("/",Raw_Data!M283)),IFERROR(DATE(VALUE(RIGHT(Raw_Data!M283,4)),VALUE(MID(Raw_Data!M283,4,2)),VALUE(LEFT(Raw_Data!M283,2))),"Invalid Date"),IFERROR(DATEVALUE(Raw_Data!M283),"Invalid Date"))))</f>
        <v/>
      </c>
      <c r="N283" s="22">
        <f>IF(Raw_Data!N283="","",IF(ISNUMBER(Raw_Data!N283),Raw_Data!N283,IF(ISNUMBER(SEARCH("/",Raw_Data!N283)),IFERROR(DATE(VALUE(RIGHT(Raw_Data!N283,4)),VALUE(MID(Raw_Data!N283,4,2)),VALUE(LEFT(Raw_Data!N283,2))),"Invalid Date"),IFERROR(DATEVALUE(Raw_Data!N283),"Invalid Date"))))</f>
        <v>45927</v>
      </c>
      <c r="O283" s="22" t="str">
        <f>IF(Raw_Data!O283="","",IF(ISNUMBER(Raw_Data!O283),Raw_Data!O283,IF(ISNUMBER(SEARCH("/",Raw_Data!O283)),IFERROR(DATE(VALUE(RIGHT(Raw_Data!O283,4)),VALUE(MID(Raw_Data!O283,4,2)),VALUE(LEFT(Raw_Data!O283,2))),"Invalid Date"),IFERROR(DATEVALUE(Raw_Data!O283),"Invalid Date"))))</f>
        <v/>
      </c>
      <c r="P283" s="17" t="str">
        <f>IF(OR(TRIM(Raw_Data!P283)="",TRIM(Raw_Data!P283)="N/A",TRIM(Raw_Data!P283)="TBD",TRIM(Raw_Data!P283)="-"),"Not Assigned",PROPER(TRIM(Raw_Data!P283)))</f>
        <v>Bharat Logistics Pvt Ltd</v>
      </c>
      <c r="Q283" s="24">
        <f t="shared" si="24"/>
        <v>3861281.0400000005</v>
      </c>
      <c r="R283" s="17" t="str">
        <f t="shared" si="25"/>
        <v/>
      </c>
      <c r="S283" s="17" t="str">
        <f>IF(COUNTIF($A$2:A283,A283)&gt;1,"Duplicate","Unique")</f>
        <v>Unique</v>
      </c>
      <c r="T283" s="17" t="str">
        <f t="shared" si="26"/>
        <v>No</v>
      </c>
      <c r="U283" s="17" t="str">
        <f t="shared" si="27"/>
        <v>No</v>
      </c>
      <c r="V283" s="17" t="str">
        <f t="shared" si="28"/>
        <v>Yes</v>
      </c>
      <c r="W283" s="17" t="str">
        <f t="shared" si="29"/>
        <v>Sep-2025</v>
      </c>
    </row>
    <row r="284" spans="1:23" x14ac:dyDescent="0.3">
      <c r="A284" s="17" t="str">
        <f>TRIM(Raw_Data!A284)</f>
        <v>REQ-2025-0283</v>
      </c>
      <c r="B284" s="22">
        <f>IF(Raw_Data!B284="","",IF(ISNUMBER(Raw_Data!B284),Raw_Data!B284,IF(ISNUMBER(SEARCH("/",Raw_Data!B284)),IFERROR(DATE(VALUE(RIGHT(Raw_Data!B284,4)),VALUE(MID(Raw_Data!B284,4,2)),VALUE(LEFT(Raw_Data!B284,2))),"Invalid Date"),IFERROR(DATEVALUE(Raw_Data!B284),"Invalid Date"))))</f>
        <v>45765</v>
      </c>
      <c r="C284" s="17" t="str">
        <f>IF(TRIM(Raw_Data!C284)="","",PROPER(TRIM(Raw_Data!C284)))</f>
        <v>Unit C - Engineers</v>
      </c>
      <c r="D284" s="17" t="str">
        <f>IF(TRIM(Raw_Data!D284)="","Not Specified",IFERROR(INDEX(Lookup_Tables!$H$6:$H$12,MATCH(TRIM(Raw_Data!D284),Lookup_Tables!$G$6:$G$12,0)),"Unknown - Review"))</f>
        <v>Eastern</v>
      </c>
      <c r="E284" s="17" t="str">
        <f>IF(TRIM(Raw_Data!E284)="","Not Specified",IFERROR(INDEX(Lookup_Tables!$B$6:$B$18,MATCH(TRIM(Raw_Data!E284),Lookup_Tables!$A$6:$A$18,0)),"Unknown - Review"))</f>
        <v>Rations</v>
      </c>
      <c r="F284" s="17" t="str">
        <f>IF(TRIM(Raw_Data!F284)="","",TRIM(Raw_Data!F284))</f>
        <v>Canned Vegetables</v>
      </c>
      <c r="G284" s="17">
        <f>IF(Raw_Data!G284="","",IF(VALUE(Raw_Data!G284)&lt;=0,"Invalid",VALUE(Raw_Data!G284)))</f>
        <v>328</v>
      </c>
      <c r="H284" s="17">
        <f>IF(Raw_Data!H284="","",IF(VALUE(Raw_Data!H284)&lt;=0,"Invalid",VALUE(Raw_Data!H284)))</f>
        <v>237</v>
      </c>
      <c r="I284" s="23">
        <f>IFERROR(VALUE(SUBSTITUTE(SUBSTITUTE(Raw_Data!I284,"₹",""),",","")),"")</f>
        <v>31790</v>
      </c>
      <c r="J284" s="17" t="str">
        <f>IF(TRIM(Raw_Data!J284)="","Not Specified",PROPER(TRIM(Raw_Data!J284)))</f>
        <v>High</v>
      </c>
      <c r="K284" s="17" t="str">
        <f>IF(TRIM(Raw_Data!K284)="","Not Specified",IFERROR(INDEX(Lookup_Tables!$E$6:$E$13,MATCH(TRIM(Raw_Data!K284),Lookup_Tables!$D$6:$D$13,0)),"Unknown - Review"))</f>
        <v>Dispatched</v>
      </c>
      <c r="L284" s="17" t="str">
        <f>IF(TRIM(Raw_Data!L284)="","",PROPER(TRIM(Raw_Data!L284)))</f>
        <v>Stores Officer</v>
      </c>
      <c r="M284" s="22">
        <f>IF(Raw_Data!M284="","",IF(ISNUMBER(Raw_Data!M284),Raw_Data!M284,IF(ISNUMBER(SEARCH("/",Raw_Data!M284)),IFERROR(DATE(VALUE(RIGHT(Raw_Data!M284,4)),VALUE(MID(Raw_Data!M284,4,2)),VALUE(LEFT(Raw_Data!M284,2))),"Invalid Date"),IFERROR(DATEVALUE(Raw_Data!M284),"Invalid Date"))))</f>
        <v>45774</v>
      </c>
      <c r="N284" s="22" t="str">
        <f>IF(Raw_Data!N284="","",IF(ISNUMBER(Raw_Data!N284),Raw_Data!N284,IF(ISNUMBER(SEARCH("/",Raw_Data!N284)),IFERROR(DATE(VALUE(RIGHT(Raw_Data!N284,4)),VALUE(MID(Raw_Data!N284,4,2)),VALUE(LEFT(Raw_Data!N284,2))),"Invalid Date"),IFERROR(DATEVALUE(Raw_Data!N284),"Invalid Date"))))</f>
        <v/>
      </c>
      <c r="O284" s="22" t="str">
        <f>IF(Raw_Data!O284="","",IF(ISNUMBER(Raw_Data!O284),Raw_Data!O284,IF(ISNUMBER(SEARCH("/",Raw_Data!O284)),IFERROR(DATE(VALUE(RIGHT(Raw_Data!O284,4)),VALUE(MID(Raw_Data!O284,4,2)),VALUE(LEFT(Raw_Data!O284,2))),"Invalid Date"),IFERROR(DATEVALUE(Raw_Data!O284),"Invalid Date"))))</f>
        <v/>
      </c>
      <c r="P284" s="17" t="str">
        <f>IF(OR(TRIM(Raw_Data!P284)="",TRIM(Raw_Data!P284)="N/A",TRIM(Raw_Data!P284)="TBD",TRIM(Raw_Data!P284)="-"),"Not Assigned",PROPER(TRIM(Raw_Data!P284)))</f>
        <v>National Defence Stores</v>
      </c>
      <c r="Q284" s="24">
        <f t="shared" si="24"/>
        <v>7534230</v>
      </c>
      <c r="R284" s="17" t="str">
        <f t="shared" si="25"/>
        <v/>
      </c>
      <c r="S284" s="17" t="str">
        <f>IF(COUNTIF($A$2:A284,A284)&gt;1,"Duplicate","Unique")</f>
        <v>Unique</v>
      </c>
      <c r="T284" s="17" t="str">
        <f t="shared" si="26"/>
        <v>No</v>
      </c>
      <c r="U284" s="17" t="str">
        <f t="shared" si="27"/>
        <v>No</v>
      </c>
      <c r="V284" s="17" t="str">
        <f t="shared" si="28"/>
        <v>Yes</v>
      </c>
      <c r="W284" s="17" t="str">
        <f t="shared" si="29"/>
        <v>Apr-2025</v>
      </c>
    </row>
    <row r="285" spans="1:23" x14ac:dyDescent="0.3">
      <c r="A285" s="17" t="str">
        <f>TRIM(Raw_Data!A285)</f>
        <v>REQ-2025-0284</v>
      </c>
      <c r="B285" s="22">
        <f>IF(Raw_Data!B285="","",IF(ISNUMBER(Raw_Data!B285),Raw_Data!B285,IF(ISNUMBER(SEARCH("/",Raw_Data!B285)),IFERROR(DATE(VALUE(RIGHT(Raw_Data!B285,4)),VALUE(MID(Raw_Data!B285,4,2)),VALUE(LEFT(Raw_Data!B285,2))),"Invalid Date"),IFERROR(DATEVALUE(Raw_Data!B285),"Invalid Date"))))</f>
        <v>45884</v>
      </c>
      <c r="C285" s="17" t="str">
        <f>IF(TRIM(Raw_Data!C285)="","",PROPER(TRIM(Raw_Data!C285)))</f>
        <v>Unit E - Medical Corps</v>
      </c>
      <c r="D285" s="17" t="str">
        <f>IF(TRIM(Raw_Data!D285)="","Not Specified",IFERROR(INDEX(Lookup_Tables!$H$6:$H$12,MATCH(TRIM(Raw_Data!D285),Lookup_Tables!$G$6:$G$12,0)),"Unknown - Review"))</f>
        <v>Central</v>
      </c>
      <c r="E285" s="17" t="str">
        <f>IF(TRIM(Raw_Data!E285)="","Not Specified",IFERROR(INDEX(Lookup_Tables!$B$6:$B$18,MATCH(TRIM(Raw_Data!E285),Lookup_Tables!$A$6:$A$18,0)),"Unknown - Review"))</f>
        <v>Tents &amp; Shelter</v>
      </c>
      <c r="F285" s="17" t="str">
        <f>IF(TRIM(Raw_Data!F285)="","",TRIM(Raw_Data!F285))</f>
        <v>Tarpaulin Sheet</v>
      </c>
      <c r="G285" s="17">
        <f>IF(Raw_Data!G285="","",IF(VALUE(Raw_Data!G285)&lt;=0,"Invalid",VALUE(Raw_Data!G285)))</f>
        <v>302</v>
      </c>
      <c r="H285" s="17">
        <f>IF(Raw_Data!H285="","",IF(VALUE(Raw_Data!H285)&lt;=0,"Invalid",VALUE(Raw_Data!H285)))</f>
        <v>247</v>
      </c>
      <c r="I285" s="23">
        <f>IFERROR(VALUE(SUBSTITUTE(SUBSTITUTE(Raw_Data!I285,"₹",""),",","")),"")</f>
        <v>20155.61</v>
      </c>
      <c r="J285" s="17" t="str">
        <f>IF(TRIM(Raw_Data!J285)="","Not Specified",PROPER(TRIM(Raw_Data!J285)))</f>
        <v>Low</v>
      </c>
      <c r="K285" s="17" t="str">
        <f>IF(TRIM(Raw_Data!K285)="","Not Specified",IFERROR(INDEX(Lookup_Tables!$E$6:$E$13,MATCH(TRIM(Raw_Data!K285),Lookup_Tables!$D$6:$D$13,0)),"Unknown - Review"))</f>
        <v>Not Specified</v>
      </c>
      <c r="L285" s="17" t="str">
        <f>IF(TRIM(Raw_Data!L285)="","",PROPER(TRIM(Raw_Data!L285)))</f>
        <v>Logistics Officer</v>
      </c>
      <c r="M285" s="22">
        <f>IF(Raw_Data!M285="","",IF(ISNUMBER(Raw_Data!M285),Raw_Data!M285,IF(ISNUMBER(SEARCH("/",Raw_Data!M285)),IFERROR(DATE(VALUE(RIGHT(Raw_Data!M285,4)),VALUE(MID(Raw_Data!M285,4,2)),VALUE(LEFT(Raw_Data!M285,2))),"Invalid Date"),IFERROR(DATEVALUE(Raw_Data!M285),"Invalid Date"))))</f>
        <v>45891</v>
      </c>
      <c r="N285" s="22">
        <f>IF(Raw_Data!N285="","",IF(ISNUMBER(Raw_Data!N285),Raw_Data!N285,IF(ISNUMBER(SEARCH("/",Raw_Data!N285)),IFERROR(DATE(VALUE(RIGHT(Raw_Data!N285,4)),VALUE(MID(Raw_Data!N285,4,2)),VALUE(LEFT(Raw_Data!N285,2))),"Invalid Date"),IFERROR(DATEVALUE(Raw_Data!N285),"Invalid Date"))))</f>
        <v>45907</v>
      </c>
      <c r="O285" s="22" t="str">
        <f>IF(Raw_Data!O285="","",IF(ISNUMBER(Raw_Data!O285),Raw_Data!O285,IF(ISNUMBER(SEARCH("/",Raw_Data!O285)),IFERROR(DATE(VALUE(RIGHT(Raw_Data!O285,4)),VALUE(MID(Raw_Data!O285,4,2)),VALUE(LEFT(Raw_Data!O285,2))),"Invalid Date"),IFERROR(DATEVALUE(Raw_Data!O285),"Invalid Date"))))</f>
        <v/>
      </c>
      <c r="P285" s="17" t="str">
        <f>IF(OR(TRIM(Raw_Data!P285)="",TRIM(Raw_Data!P285)="N/A",TRIM(Raw_Data!P285)="TBD",TRIM(Raw_Data!P285)="-"),"Not Assigned",PROPER(TRIM(Raw_Data!P285)))</f>
        <v>National Defence Stores</v>
      </c>
      <c r="Q285" s="24">
        <f t="shared" si="24"/>
        <v>4978435.67</v>
      </c>
      <c r="R285" s="17" t="str">
        <f t="shared" si="25"/>
        <v/>
      </c>
      <c r="S285" s="17" t="str">
        <f>IF(COUNTIF($A$2:A285,A285)&gt;1,"Duplicate","Unique")</f>
        <v>Unique</v>
      </c>
      <c r="T285" s="17" t="str">
        <f t="shared" si="26"/>
        <v>Yes</v>
      </c>
      <c r="U285" s="17" t="str">
        <f t="shared" si="27"/>
        <v>No</v>
      </c>
      <c r="V285" s="17" t="str">
        <f t="shared" si="28"/>
        <v>No</v>
      </c>
      <c r="W285" s="17" t="str">
        <f t="shared" si="29"/>
        <v>Aug-2025</v>
      </c>
    </row>
    <row r="286" spans="1:23" x14ac:dyDescent="0.3">
      <c r="A286" s="17" t="str">
        <f>TRIM(Raw_Data!A286)</f>
        <v>REQ-2025-0285</v>
      </c>
      <c r="B286" s="22">
        <f>IF(Raw_Data!B286="","",IF(ISNUMBER(Raw_Data!B286),Raw_Data!B286,IF(ISNUMBER(SEARCH("/",Raw_Data!B286)),IFERROR(DATE(VALUE(RIGHT(Raw_Data!B286,4)),VALUE(MID(Raw_Data!B286,4,2)),VALUE(LEFT(Raw_Data!B286,2))),"Invalid Date"),IFERROR(DATEVALUE(Raw_Data!B286),"Invalid Date"))))</f>
        <v>45709</v>
      </c>
      <c r="C286" s="17" t="str">
        <f>IF(TRIM(Raw_Data!C286)="","",PROPER(TRIM(Raw_Data!C286)))</f>
        <v>Unit B - Artillery</v>
      </c>
      <c r="D286" s="17" t="str">
        <f>IF(TRIM(Raw_Data!D286)="","Not Specified",IFERROR(INDEX(Lookup_Tables!$H$6:$H$12,MATCH(TRIM(Raw_Data!D286),Lookup_Tables!$G$6:$G$12,0)),"Unknown - Review"))</f>
        <v>Southern</v>
      </c>
      <c r="E286" s="17" t="str">
        <f>IF(TRIM(Raw_Data!E286)="","Not Specified",IFERROR(INDEX(Lookup_Tables!$B$6:$B$18,MATCH(TRIM(Raw_Data!E286),Lookup_Tables!$A$6:$A$18,0)),"Unknown - Review"))</f>
        <v>Office &amp; IT Equipment</v>
      </c>
      <c r="F286" s="17" t="str">
        <f>IF(TRIM(Raw_Data!F286)="","",TRIM(Raw_Data!F286))</f>
        <v>Filing Cabinet</v>
      </c>
      <c r="G286" s="17">
        <f>IF(Raw_Data!G286="","",IF(VALUE(Raw_Data!G286)&lt;=0,"Invalid",VALUE(Raw_Data!G286)))</f>
        <v>313</v>
      </c>
      <c r="H286" s="17">
        <f>IF(Raw_Data!H286="","",IF(VALUE(Raw_Data!H286)&lt;=0,"Invalid",VALUE(Raw_Data!H286)))</f>
        <v>229</v>
      </c>
      <c r="I286" s="23">
        <f>IFERROR(VALUE(SUBSTITUTE(SUBSTITUTE(Raw_Data!I286,"₹",""),",","")),"")</f>
        <v>757.81</v>
      </c>
      <c r="J286" s="17" t="str">
        <f>IF(TRIM(Raw_Data!J286)="","Not Specified",PROPER(TRIM(Raw_Data!J286)))</f>
        <v>Medium</v>
      </c>
      <c r="K286" s="17" t="str">
        <f>IF(TRIM(Raw_Data!K286)="","Not Specified",IFERROR(INDEX(Lookup_Tables!$E$6:$E$13,MATCH(TRIM(Raw_Data!K286),Lookup_Tables!$D$6:$D$13,0)),"Unknown - Review"))</f>
        <v>Delivered</v>
      </c>
      <c r="L286" s="17" t="str">
        <f>IF(TRIM(Raw_Data!L286)="","",PROPER(TRIM(Raw_Data!L286)))</f>
        <v>Quartermaster</v>
      </c>
      <c r="M286" s="22">
        <f>IF(Raw_Data!M286="","",IF(ISNUMBER(Raw_Data!M286),Raw_Data!M286,IF(ISNUMBER(SEARCH("/",Raw_Data!M286)),IFERROR(DATE(VALUE(RIGHT(Raw_Data!M286,4)),VALUE(MID(Raw_Data!M286,4,2)),VALUE(LEFT(Raw_Data!M286,2))),"Invalid Date"),IFERROR(DATEVALUE(Raw_Data!M286),"Invalid Date"))))</f>
        <v>45710</v>
      </c>
      <c r="N286" s="22">
        <f>IF(Raw_Data!N286="","",IF(ISNUMBER(Raw_Data!N286),Raw_Data!N286,IF(ISNUMBER(SEARCH("/",Raw_Data!N286)),IFERROR(DATE(VALUE(RIGHT(Raw_Data!N286,4)),VALUE(MID(Raw_Data!N286,4,2)),VALUE(LEFT(Raw_Data!N286,2))),"Invalid Date"),IFERROR(DATEVALUE(Raw_Data!N286),"Invalid Date"))))</f>
        <v>45719</v>
      </c>
      <c r="O286" s="22">
        <f>IF(Raw_Data!O286="","",IF(ISNUMBER(Raw_Data!O286),Raw_Data!O286,IF(ISNUMBER(SEARCH("/",Raw_Data!O286)),IFERROR(DATE(VALUE(RIGHT(Raw_Data!O286,4)),VALUE(MID(Raw_Data!O286,4,2)),VALUE(LEFT(Raw_Data!O286,2))),"Invalid Date"),IFERROR(DATEVALUE(Raw_Data!O286),"Invalid Date"))))</f>
        <v>45721</v>
      </c>
      <c r="P286" s="17" t="str">
        <f>IF(OR(TRIM(Raw_Data!P286)="",TRIM(Raw_Data!P286)="N/A",TRIM(Raw_Data!P286)="TBD",TRIM(Raw_Data!P286)="-"),"Not Assigned",PROPER(TRIM(Raw_Data!P286)))</f>
        <v>Sena Supply Co</v>
      </c>
      <c r="Q286" s="24">
        <f t="shared" si="24"/>
        <v>173538.49</v>
      </c>
      <c r="R286" s="17">
        <f t="shared" si="25"/>
        <v>2</v>
      </c>
      <c r="S286" s="17" t="str">
        <f>IF(COUNTIF($A$2:A286,A286)&gt;1,"Duplicate","Unique")</f>
        <v>Unique</v>
      </c>
      <c r="T286" s="17" t="str">
        <f t="shared" si="26"/>
        <v>No</v>
      </c>
      <c r="U286" s="17" t="str">
        <f t="shared" si="27"/>
        <v>No</v>
      </c>
      <c r="V286" s="17" t="str">
        <f t="shared" si="28"/>
        <v>Yes</v>
      </c>
      <c r="W286" s="17" t="str">
        <f t="shared" si="29"/>
        <v>Feb-2025</v>
      </c>
    </row>
    <row r="287" spans="1:23" x14ac:dyDescent="0.3">
      <c r="A287" s="17" t="str">
        <f>TRIM(Raw_Data!A287)</f>
        <v>REQ-2025-0279</v>
      </c>
      <c r="B287" s="22" t="str">
        <f>IF(Raw_Data!B287="","",IF(ISNUMBER(Raw_Data!B287),Raw_Data!B287,IF(ISNUMBER(SEARCH("/",Raw_Data!B287)),IFERROR(DATE(VALUE(RIGHT(Raw_Data!B287,4)),VALUE(MID(Raw_Data!B287,4,2)),VALUE(LEFT(Raw_Data!B287,2))),"Invalid Date"),IFERROR(DATEVALUE(Raw_Data!B287),"Invalid Date"))))</f>
        <v/>
      </c>
      <c r="C287" s="17" t="str">
        <f>IF(TRIM(Raw_Data!C287)="","",PROPER(TRIM(Raw_Data!C287)))</f>
        <v>Unit C - Engineers</v>
      </c>
      <c r="D287" s="17" t="str">
        <f>IF(TRIM(Raw_Data!D287)="","Not Specified",IFERROR(INDEX(Lookup_Tables!$H$6:$H$12,MATCH(TRIM(Raw_Data!D287),Lookup_Tables!$G$6:$G$12,0)),"Unknown - Review"))</f>
        <v>Eastern</v>
      </c>
      <c r="E287" s="17" t="str">
        <f>IF(TRIM(Raw_Data!E287)="","Not Specified",IFERROR(INDEX(Lookup_Tables!$B$6:$B$18,MATCH(TRIM(Raw_Data!E287),Lookup_Tables!$A$6:$A$18,0)),"Unknown - Review"))</f>
        <v>Uniforms &amp; Clothing</v>
      </c>
      <c r="F287" s="17" t="str">
        <f>IF(TRIM(Raw_Data!F287)="","",TRIM(Raw_Data!F287))</f>
        <v>Winter Jacket</v>
      </c>
      <c r="G287" s="17">
        <f>IF(Raw_Data!G287="","",IF(VALUE(Raw_Data!G287)&lt;=0,"Invalid",VALUE(Raw_Data!G287)))</f>
        <v>103</v>
      </c>
      <c r="H287" s="17" t="str">
        <f>IF(Raw_Data!H287="","",IF(VALUE(Raw_Data!H287)&lt;=0,"Invalid",VALUE(Raw_Data!H287)))</f>
        <v/>
      </c>
      <c r="I287" s="23">
        <f>IFERROR(VALUE(SUBSTITUTE(SUBSTITUTE(Raw_Data!I287,"₹",""),",","")),"")</f>
        <v>19270</v>
      </c>
      <c r="J287" s="17" t="str">
        <f>IF(TRIM(Raw_Data!J287)="","Not Specified",PROPER(TRIM(Raw_Data!J287)))</f>
        <v>High</v>
      </c>
      <c r="K287" s="17" t="str">
        <f>IF(TRIM(Raw_Data!K287)="","Not Specified",IFERROR(INDEX(Lookup_Tables!$E$6:$E$13,MATCH(TRIM(Raw_Data!K287),Lookup_Tables!$D$6:$D$13,0)),"Unknown - Review"))</f>
        <v>Pending</v>
      </c>
      <c r="L287" s="17" t="str">
        <f>IF(TRIM(Raw_Data!L287)="","",PROPER(TRIM(Raw_Data!L287)))</f>
        <v>Stores Officer</v>
      </c>
      <c r="M287" s="22" t="str">
        <f>IF(Raw_Data!M287="","",IF(ISNUMBER(Raw_Data!M287),Raw_Data!M287,IF(ISNUMBER(SEARCH("/",Raw_Data!M287)),IFERROR(DATE(VALUE(RIGHT(Raw_Data!M287,4)),VALUE(MID(Raw_Data!M287,4,2)),VALUE(LEFT(Raw_Data!M287,2))),"Invalid Date"),IFERROR(DATEVALUE(Raw_Data!M287),"Invalid Date"))))</f>
        <v/>
      </c>
      <c r="N287" s="22" t="str">
        <f>IF(Raw_Data!N287="","",IF(ISNUMBER(Raw_Data!N287),Raw_Data!N287,IF(ISNUMBER(SEARCH("/",Raw_Data!N287)),IFERROR(DATE(VALUE(RIGHT(Raw_Data!N287,4)),VALUE(MID(Raw_Data!N287,4,2)),VALUE(LEFT(Raw_Data!N287,2))),"Invalid Date"),IFERROR(DATEVALUE(Raw_Data!N287),"Invalid Date"))))</f>
        <v/>
      </c>
      <c r="O287" s="22" t="str">
        <f>IF(Raw_Data!O287="","",IF(ISNUMBER(Raw_Data!O287),Raw_Data!O287,IF(ISNUMBER(SEARCH("/",Raw_Data!O287)),IFERROR(DATE(VALUE(RIGHT(Raw_Data!O287,4)),VALUE(MID(Raw_Data!O287,4,2)),VALUE(LEFT(Raw_Data!O287,2))),"Invalid Date"),IFERROR(DATEVALUE(Raw_Data!O287),"Invalid Date"))))</f>
        <v/>
      </c>
      <c r="P287" s="17" t="str">
        <f>IF(OR(TRIM(Raw_Data!P287)="",TRIM(Raw_Data!P287)="N/A",TRIM(Raw_Data!P287)="TBD",TRIM(Raw_Data!P287)="-"),"Not Assigned",PROPER(TRIM(Raw_Data!P287)))</f>
        <v>Not Assigned</v>
      </c>
      <c r="Q287" s="24" t="str">
        <f t="shared" si="24"/>
        <v/>
      </c>
      <c r="R287" s="17" t="str">
        <f t="shared" si="25"/>
        <v/>
      </c>
      <c r="S287" s="17" t="str">
        <f>IF(COUNTIF($A$2:A287,A287)&gt;1,"Duplicate","Unique")</f>
        <v>Duplicate</v>
      </c>
      <c r="T287" s="17" t="str">
        <f t="shared" si="26"/>
        <v>No</v>
      </c>
      <c r="U287" s="17" t="str">
        <f t="shared" si="27"/>
        <v>No</v>
      </c>
      <c r="V287" s="17" t="str">
        <f t="shared" si="28"/>
        <v>No</v>
      </c>
      <c r="W287" s="17" t="str">
        <f t="shared" si="29"/>
        <v/>
      </c>
    </row>
    <row r="288" spans="1:23" x14ac:dyDescent="0.3">
      <c r="A288" s="17" t="str">
        <f>TRIM(Raw_Data!A288)</f>
        <v>REQ-2025-0064</v>
      </c>
      <c r="B288" s="22">
        <f>IF(Raw_Data!B288="","",IF(ISNUMBER(Raw_Data!B288),Raw_Data!B288,IF(ISNUMBER(SEARCH("/",Raw_Data!B288)),IFERROR(DATE(VALUE(RIGHT(Raw_Data!B288,4)),VALUE(MID(Raw_Data!B288,4,2)),VALUE(LEFT(Raw_Data!B288,2))),"Invalid Date"),IFERROR(DATEVALUE(Raw_Data!B288),"Invalid Date"))))</f>
        <v>45851</v>
      </c>
      <c r="C288" s="17" t="str">
        <f>IF(TRIM(Raw_Data!C288)="","",PROPER(TRIM(Raw_Data!C288)))</f>
        <v>Unit G - Transport Corps</v>
      </c>
      <c r="D288" s="17" t="str">
        <f>IF(TRIM(Raw_Data!D288)="","Not Specified",IFERROR(INDEX(Lookup_Tables!$H$6:$H$12,MATCH(TRIM(Raw_Data!D288),Lookup_Tables!$G$6:$G$12,0)),"Unknown - Review"))</f>
        <v>Southern</v>
      </c>
      <c r="E288" s="17" t="str">
        <f>IF(TRIM(Raw_Data!E288)="","Not Specified",IFERROR(INDEX(Lookup_Tables!$B$6:$B$18,MATCH(TRIM(Raw_Data!E288),Lookup_Tables!$A$6:$A$18,0)),"Unknown - Review"))</f>
        <v>Construction Material</v>
      </c>
      <c r="F288" s="17" t="str">
        <f>IF(TRIM(Raw_Data!F288)="","",TRIM(Raw_Data!F288))</f>
        <v>Timber Plank Set</v>
      </c>
      <c r="G288" s="17">
        <f>IF(Raw_Data!G288="","",IF(VALUE(Raw_Data!G288)&lt;=0,"Invalid",VALUE(Raw_Data!G288)))</f>
        <v>65</v>
      </c>
      <c r="H288" s="17" t="str">
        <f>IF(Raw_Data!H288="","",IF(VALUE(Raw_Data!H288)&lt;=0,"Invalid",VALUE(Raw_Data!H288)))</f>
        <v/>
      </c>
      <c r="I288" s="23">
        <f>IFERROR(VALUE(SUBSTITUTE(SUBSTITUTE(Raw_Data!I288,"₹",""),",","")),"")</f>
        <v>23868.59</v>
      </c>
      <c r="J288" s="17" t="str">
        <f>IF(TRIM(Raw_Data!J288)="","Not Specified",PROPER(TRIM(Raw_Data!J288)))</f>
        <v>Medium</v>
      </c>
      <c r="K288" s="17" t="str">
        <f>IF(TRIM(Raw_Data!K288)="","Not Specified",IFERROR(INDEX(Lookup_Tables!$E$6:$E$13,MATCH(TRIM(Raw_Data!K288),Lookup_Tables!$D$6:$D$13,0)),"Unknown - Review"))</f>
        <v>Rejected</v>
      </c>
      <c r="L288" s="17" t="str">
        <f>IF(TRIM(Raw_Data!L288)="","",PROPER(TRIM(Raw_Data!L288)))</f>
        <v>Stores Officer</v>
      </c>
      <c r="M288" s="22" t="str">
        <f>IF(Raw_Data!M288="","",IF(ISNUMBER(Raw_Data!M288),Raw_Data!M288,IF(ISNUMBER(SEARCH("/",Raw_Data!M288)),IFERROR(DATE(VALUE(RIGHT(Raw_Data!M288,4)),VALUE(MID(Raw_Data!M288,4,2)),VALUE(LEFT(Raw_Data!M288,2))),"Invalid Date"),IFERROR(DATEVALUE(Raw_Data!M288),"Invalid Date"))))</f>
        <v/>
      </c>
      <c r="N288" s="22" t="str">
        <f>IF(Raw_Data!N288="","",IF(ISNUMBER(Raw_Data!N288),Raw_Data!N288,IF(ISNUMBER(SEARCH("/",Raw_Data!N288)),IFERROR(DATE(VALUE(RIGHT(Raw_Data!N288,4)),VALUE(MID(Raw_Data!N288,4,2)),VALUE(LEFT(Raw_Data!N288,2))),"Invalid Date"),IFERROR(DATEVALUE(Raw_Data!N288),"Invalid Date"))))</f>
        <v/>
      </c>
      <c r="O288" s="22" t="str">
        <f>IF(Raw_Data!O288="","",IF(ISNUMBER(Raw_Data!O288),Raw_Data!O288,IF(ISNUMBER(SEARCH("/",Raw_Data!O288)),IFERROR(DATE(VALUE(RIGHT(Raw_Data!O288,4)),VALUE(MID(Raw_Data!O288,4,2)),VALUE(LEFT(Raw_Data!O288,2))),"Invalid Date"),IFERROR(DATEVALUE(Raw_Data!O288),"Invalid Date"))))</f>
        <v/>
      </c>
      <c r="P288" s="17" t="str">
        <f>IF(OR(TRIM(Raw_Data!P288)="",TRIM(Raw_Data!P288)="N/A",TRIM(Raw_Data!P288)="TBD",TRIM(Raw_Data!P288)="-"),"Not Assigned",PROPER(TRIM(Raw_Data!P288)))</f>
        <v>Not Assigned</v>
      </c>
      <c r="Q288" s="24" t="str">
        <f t="shared" si="24"/>
        <v/>
      </c>
      <c r="R288" s="17" t="str">
        <f t="shared" si="25"/>
        <v/>
      </c>
      <c r="S288" s="17" t="str">
        <f>IF(COUNTIF($A$2:A288,A288)&gt;1,"Duplicate","Unique")</f>
        <v>Duplicate</v>
      </c>
      <c r="T288" s="17" t="str">
        <f t="shared" si="26"/>
        <v>No</v>
      </c>
      <c r="U288" s="17" t="str">
        <f t="shared" si="27"/>
        <v>No</v>
      </c>
      <c r="V288" s="17" t="str">
        <f t="shared" si="28"/>
        <v>No</v>
      </c>
      <c r="W288" s="17" t="str">
        <f t="shared" si="29"/>
        <v>Jul-2025</v>
      </c>
    </row>
    <row r="289" spans="1:23" x14ac:dyDescent="0.3">
      <c r="A289" s="17" t="str">
        <f>TRIM(Raw_Data!A289)</f>
        <v>REQ-2025-0011</v>
      </c>
      <c r="B289" s="22">
        <f>IF(Raw_Data!B289="","",IF(ISNUMBER(Raw_Data!B289),Raw_Data!B289,IF(ISNUMBER(SEARCH("/",Raw_Data!B289)),IFERROR(DATE(VALUE(RIGHT(Raw_Data!B289,4)),VALUE(MID(Raw_Data!B289,4,2)),VALUE(LEFT(Raw_Data!B289,2))),"Invalid Date"),IFERROR(DATEVALUE(Raw_Data!B289),"Invalid Date"))))</f>
        <v>45765</v>
      </c>
      <c r="C289" s="17" t="str">
        <f>IF(TRIM(Raw_Data!C289)="","",PROPER(TRIM(Raw_Data!C289)))</f>
        <v>Unit A - Infantry</v>
      </c>
      <c r="D289" s="17" t="str">
        <f>IF(TRIM(Raw_Data!D289)="","Not Specified",IFERROR(INDEX(Lookup_Tables!$H$6:$H$12,MATCH(TRIM(Raw_Data!D289),Lookup_Tables!$G$6:$G$12,0)),"Unknown - Review"))</f>
        <v>Northern</v>
      </c>
      <c r="E289" s="17" t="str">
        <f>IF(TRIM(Raw_Data!E289)="","Not Specified",IFERROR(INDEX(Lookup_Tables!$B$6:$B$18,MATCH(TRIM(Raw_Data!E289),Lookup_Tables!$A$6:$A$18,0)),"Unknown - Review"))</f>
        <v>Rations</v>
      </c>
      <c r="F289" s="17" t="str">
        <f>IF(TRIM(Raw_Data!F289)="","",TRIM(Raw_Data!F289))</f>
        <v>Rice (50kg bag)</v>
      </c>
      <c r="G289" s="17">
        <f>IF(Raw_Data!G289="","",IF(VALUE(Raw_Data!G289)&lt;=0,"Invalid",VALUE(Raw_Data!G289)))</f>
        <v>404</v>
      </c>
      <c r="H289" s="17">
        <f>IF(Raw_Data!H289="","",IF(VALUE(Raw_Data!H289)&lt;=0,"Invalid",VALUE(Raw_Data!H289)))</f>
        <v>400</v>
      </c>
      <c r="I289" s="23">
        <f>IFERROR(VALUE(SUBSTITUTE(SUBSTITUTE(Raw_Data!I289,"₹",""),",","")),"")</f>
        <v>33764.07</v>
      </c>
      <c r="J289" s="17" t="str">
        <f>IF(TRIM(Raw_Data!J289)="","Not Specified",PROPER(TRIM(Raw_Data!J289)))</f>
        <v>High</v>
      </c>
      <c r="K289" s="17" t="str">
        <f>IF(TRIM(Raw_Data!K289)="","Not Specified",IFERROR(INDEX(Lookup_Tables!$E$6:$E$13,MATCH(TRIM(Raw_Data!K289),Lookup_Tables!$D$6:$D$13,0)),"Unknown - Review"))</f>
        <v>Delivered</v>
      </c>
      <c r="L289" s="17" t="str">
        <f>IF(TRIM(Raw_Data!L289)="","",PROPER(TRIM(Raw_Data!L289)))</f>
        <v>Stores Officer</v>
      </c>
      <c r="M289" s="22">
        <f>IF(Raw_Data!M289="","",IF(ISNUMBER(Raw_Data!M289),Raw_Data!M289,IF(ISNUMBER(SEARCH("/",Raw_Data!M289)),IFERROR(DATE(VALUE(RIGHT(Raw_Data!M289,4)),VALUE(MID(Raw_Data!M289,4,2)),VALUE(LEFT(Raw_Data!M289,2))),"Invalid Date"),IFERROR(DATEVALUE(Raw_Data!M289),"Invalid Date"))))</f>
        <v>45769</v>
      </c>
      <c r="N289" s="22">
        <f>IF(Raw_Data!N289="","",IF(ISNUMBER(Raw_Data!N289),Raw_Data!N289,IF(ISNUMBER(SEARCH("/",Raw_Data!N289)),IFERROR(DATE(VALUE(RIGHT(Raw_Data!N289,4)),VALUE(MID(Raw_Data!N289,4,2)),VALUE(LEFT(Raw_Data!N289,2))),"Invalid Date"),IFERROR(DATEVALUE(Raw_Data!N289),"Invalid Date"))))</f>
        <v>45779</v>
      </c>
      <c r="O289" s="22">
        <f>IF(Raw_Data!O289="","",IF(ISNUMBER(Raw_Data!O289),Raw_Data!O289,IF(ISNUMBER(SEARCH("/",Raw_Data!O289)),IFERROR(DATE(VALUE(RIGHT(Raw_Data!O289,4)),VALUE(MID(Raw_Data!O289,4,2)),VALUE(LEFT(Raw_Data!O289,2))),"Invalid Date"),IFERROR(DATEVALUE(Raw_Data!O289),"Invalid Date"))))</f>
        <v>45799</v>
      </c>
      <c r="P289" s="17" t="str">
        <f>IF(OR(TRIM(Raw_Data!P289)="",TRIM(Raw_Data!P289)="N/A",TRIM(Raw_Data!P289)="TBD",TRIM(Raw_Data!P289)="-"),"Not Assigned",PROPER(TRIM(Raw_Data!P289)))</f>
        <v>National Defence Stores</v>
      </c>
      <c r="Q289" s="24">
        <f t="shared" si="24"/>
        <v>13505628</v>
      </c>
      <c r="R289" s="17">
        <f t="shared" si="25"/>
        <v>20</v>
      </c>
      <c r="S289" s="17" t="str">
        <f>IF(COUNTIF($A$2:A289,A289)&gt;1,"Duplicate","Unique")</f>
        <v>Duplicate</v>
      </c>
      <c r="T289" s="17" t="str">
        <f t="shared" si="26"/>
        <v>No</v>
      </c>
      <c r="U289" s="17" t="str">
        <f t="shared" si="27"/>
        <v>No</v>
      </c>
      <c r="V289" s="17" t="str">
        <f t="shared" si="28"/>
        <v>No</v>
      </c>
      <c r="W289" s="17" t="str">
        <f t="shared" si="29"/>
        <v>Apr-2025</v>
      </c>
    </row>
    <row r="290" spans="1:23" x14ac:dyDescent="0.3">
      <c r="A290" s="17" t="str">
        <f>TRIM(Raw_Data!A290)</f>
        <v>REQ-2025-0023</v>
      </c>
      <c r="B290" s="22">
        <f>IF(Raw_Data!B290="","",IF(ISNUMBER(Raw_Data!B290),Raw_Data!B290,IF(ISNUMBER(SEARCH("/",Raw_Data!B290)),IFERROR(DATE(VALUE(RIGHT(Raw_Data!B290,4)),VALUE(MID(Raw_Data!B290,4,2)),VALUE(LEFT(Raw_Data!B290,2))),"Invalid Date"),IFERROR(DATEVALUE(Raw_Data!B290),"Invalid Date"))))</f>
        <v>45708</v>
      </c>
      <c r="C290" s="17" t="str">
        <f>IF(TRIM(Raw_Data!C290)="","",PROPER(TRIM(Raw_Data!C290)))</f>
        <v>Unit E - Medical Corps</v>
      </c>
      <c r="D290" s="17" t="str">
        <f>IF(TRIM(Raw_Data!D290)="","Not Specified",IFERROR(INDEX(Lookup_Tables!$H$6:$H$12,MATCH(TRIM(Raw_Data!D290),Lookup_Tables!$G$6:$G$12,0)),"Unknown - Review"))</f>
        <v>Central</v>
      </c>
      <c r="E290" s="17" t="str">
        <f>IF(TRIM(Raw_Data!E290)="","Not Specified",IFERROR(INDEX(Lookup_Tables!$B$6:$B$18,MATCH(TRIM(Raw_Data!E290),Lookup_Tables!$A$6:$A$18,0)),"Unknown - Review"))</f>
        <v>Rations</v>
      </c>
      <c r="F290" s="17" t="str">
        <f>IF(TRIM(Raw_Data!F290)="","",TRIM(Raw_Data!F290))</f>
        <v>Cooking Oil (15L)</v>
      </c>
      <c r="G290" s="17">
        <f>IF(Raw_Data!G290="","",IF(VALUE(Raw_Data!G290)&lt;=0,"Invalid",VALUE(Raw_Data!G290)))</f>
        <v>140</v>
      </c>
      <c r="H290" s="17">
        <f>IF(Raw_Data!H290="","",IF(VALUE(Raw_Data!H290)&lt;=0,"Invalid",VALUE(Raw_Data!H290)))</f>
        <v>105</v>
      </c>
      <c r="I290" s="23">
        <f>IFERROR(VALUE(SUBSTITUTE(SUBSTITUTE(Raw_Data!I290,"₹",""),",","")),"")</f>
        <v>3516.66</v>
      </c>
      <c r="J290" s="17" t="str">
        <f>IF(TRIM(Raw_Data!J290)="","Not Specified",PROPER(TRIM(Raw_Data!J290)))</f>
        <v>Medium</v>
      </c>
      <c r="K290" s="17" t="str">
        <f>IF(TRIM(Raw_Data!K290)="","Not Specified",IFERROR(INDEX(Lookup_Tables!$E$6:$E$13,MATCH(TRIM(Raw_Data!K290),Lookup_Tables!$D$6:$D$13,0)),"Unknown - Review"))</f>
        <v>Delivered</v>
      </c>
      <c r="L290" s="17" t="str">
        <f>IF(TRIM(Raw_Data!L290)="","",PROPER(TRIM(Raw_Data!L290)))</f>
        <v>Logistics Officer</v>
      </c>
      <c r="M290" s="22">
        <f>IF(Raw_Data!M290="","",IF(ISNUMBER(Raw_Data!M290),Raw_Data!M290,IF(ISNUMBER(SEARCH("/",Raw_Data!M290)),IFERROR(DATE(VALUE(RIGHT(Raw_Data!M290,4)),VALUE(MID(Raw_Data!M290,4,2)),VALUE(LEFT(Raw_Data!M290,2))),"Invalid Date"),IFERROR(DATEVALUE(Raw_Data!M290),"Invalid Date"))))</f>
        <v>45709</v>
      </c>
      <c r="N290" s="22">
        <f>IF(Raw_Data!N290="","",IF(ISNUMBER(Raw_Data!N290),Raw_Data!N290,IF(ISNUMBER(SEARCH("/",Raw_Data!N290)),IFERROR(DATE(VALUE(RIGHT(Raw_Data!N290,4)),VALUE(MID(Raw_Data!N290,4,2)),VALUE(LEFT(Raw_Data!N290,2))),"Invalid Date"),IFERROR(DATEVALUE(Raw_Data!N290),"Invalid Date"))))</f>
        <v>45727</v>
      </c>
      <c r="O290" s="22">
        <f>IF(Raw_Data!O290="","",IF(ISNUMBER(Raw_Data!O290),Raw_Data!O290,IF(ISNUMBER(SEARCH("/",Raw_Data!O290)),IFERROR(DATE(VALUE(RIGHT(Raw_Data!O290,4)),VALUE(MID(Raw_Data!O290,4,2)),VALUE(LEFT(Raw_Data!O290,2))),"Invalid Date"),IFERROR(DATEVALUE(Raw_Data!O290),"Invalid Date"))))</f>
        <v>45736</v>
      </c>
      <c r="P290" s="17" t="str">
        <f>IF(OR(TRIM(Raw_Data!P290)="",TRIM(Raw_Data!P290)="N/A",TRIM(Raw_Data!P290)="TBD",TRIM(Raw_Data!P290)="-"),"Not Assigned",PROPER(TRIM(Raw_Data!P290)))</f>
        <v>Not Assigned</v>
      </c>
      <c r="Q290" s="24">
        <f t="shared" si="24"/>
        <v>369249.3</v>
      </c>
      <c r="R290" s="17">
        <f t="shared" si="25"/>
        <v>9</v>
      </c>
      <c r="S290" s="17" t="str">
        <f>IF(COUNTIF($A$2:A290,A290)&gt;1,"Duplicate","Unique")</f>
        <v>Duplicate</v>
      </c>
      <c r="T290" s="17" t="str">
        <f t="shared" si="26"/>
        <v>No</v>
      </c>
      <c r="U290" s="17" t="str">
        <f t="shared" si="27"/>
        <v>No</v>
      </c>
      <c r="V290" s="17" t="str">
        <f t="shared" si="28"/>
        <v>No</v>
      </c>
      <c r="W290" s="17" t="str">
        <f t="shared" si="29"/>
        <v>Feb-2025</v>
      </c>
    </row>
    <row r="291" spans="1:23" x14ac:dyDescent="0.3">
      <c r="A291" s="17" t="str">
        <f>TRIM(Raw_Data!A291)</f>
        <v>REQ-2025-0053</v>
      </c>
      <c r="B291" s="22">
        <f>IF(Raw_Data!B291="","",IF(ISNUMBER(Raw_Data!B291),Raw_Data!B291,IF(ISNUMBER(SEARCH("/",Raw_Data!B291)),IFERROR(DATE(VALUE(RIGHT(Raw_Data!B291,4)),VALUE(MID(Raw_Data!B291,4,2)),VALUE(LEFT(Raw_Data!B291,2))),"Invalid Date"),IFERROR(DATEVALUE(Raw_Data!B291),"Invalid Date"))))</f>
        <v>45950</v>
      </c>
      <c r="C291" s="17" t="str">
        <f>IF(TRIM(Raw_Data!C291)="","",PROPER(TRIM(Raw_Data!C291)))</f>
        <v>Unit A - Infantry</v>
      </c>
      <c r="D291" s="17" t="str">
        <f>IF(TRIM(Raw_Data!D291)="","Not Specified",IFERROR(INDEX(Lookup_Tables!$H$6:$H$12,MATCH(TRIM(Raw_Data!D291),Lookup_Tables!$G$6:$G$12,0)),"Unknown - Review"))</f>
        <v>Northern</v>
      </c>
      <c r="E291" s="17" t="str">
        <f>IF(TRIM(Raw_Data!E291)="","Not Specified",IFERROR(INDEX(Lookup_Tables!$B$6:$B$18,MATCH(TRIM(Raw_Data!E291),Lookup_Tables!$A$6:$A$18,0)),"Unknown - Review"))</f>
        <v>Communication Equipment</v>
      </c>
      <c r="F291" s="17" t="str">
        <f>IF(TRIM(Raw_Data!F291)="","",TRIM(Raw_Data!F291))</f>
        <v>Signal Cable (100m)</v>
      </c>
      <c r="G291" s="17">
        <f>IF(Raw_Data!G291="","",IF(VALUE(Raw_Data!G291)&lt;=0,"Invalid",VALUE(Raw_Data!G291)))</f>
        <v>460</v>
      </c>
      <c r="H291" s="17" t="str">
        <f>IF(Raw_Data!H291="","",IF(VALUE(Raw_Data!H291)&lt;=0,"Invalid",VALUE(Raw_Data!H291)))</f>
        <v/>
      </c>
      <c r="I291" s="23">
        <f>IFERROR(VALUE(SUBSTITUTE(SUBSTITUTE(Raw_Data!I291,"₹",""),",","")),"")</f>
        <v>43055.76</v>
      </c>
      <c r="J291" s="17" t="str">
        <f>IF(TRIM(Raw_Data!J291)="","Not Specified",PROPER(TRIM(Raw_Data!J291)))</f>
        <v>High</v>
      </c>
      <c r="K291" s="17" t="str">
        <f>IF(TRIM(Raw_Data!K291)="","Not Specified",IFERROR(INDEX(Lookup_Tables!$E$6:$E$13,MATCH(TRIM(Raw_Data!K291),Lookup_Tables!$D$6:$D$13,0)),"Unknown - Review"))</f>
        <v>Rejected</v>
      </c>
      <c r="L291" s="17" t="str">
        <f>IF(TRIM(Raw_Data!L291)="","",PROPER(TRIM(Raw_Data!L291)))</f>
        <v>Unit Commander</v>
      </c>
      <c r="M291" s="22" t="str">
        <f>IF(Raw_Data!M291="","",IF(ISNUMBER(Raw_Data!M291),Raw_Data!M291,IF(ISNUMBER(SEARCH("/",Raw_Data!M291)),IFERROR(DATE(VALUE(RIGHT(Raw_Data!M291,4)),VALUE(MID(Raw_Data!M291,4,2)),VALUE(LEFT(Raw_Data!M291,2))),"Invalid Date"),IFERROR(DATEVALUE(Raw_Data!M291),"Invalid Date"))))</f>
        <v/>
      </c>
      <c r="N291" s="22" t="str">
        <f>IF(Raw_Data!N291="","",IF(ISNUMBER(Raw_Data!N291),Raw_Data!N291,IF(ISNUMBER(SEARCH("/",Raw_Data!N291)),IFERROR(DATE(VALUE(RIGHT(Raw_Data!N291,4)),VALUE(MID(Raw_Data!N291,4,2)),VALUE(LEFT(Raw_Data!N291,2))),"Invalid Date"),IFERROR(DATEVALUE(Raw_Data!N291),"Invalid Date"))))</f>
        <v/>
      </c>
      <c r="O291" s="22" t="str">
        <f>IF(Raw_Data!O291="","",IF(ISNUMBER(Raw_Data!O291),Raw_Data!O291,IF(ISNUMBER(SEARCH("/",Raw_Data!O291)),IFERROR(DATE(VALUE(RIGHT(Raw_Data!O291,4)),VALUE(MID(Raw_Data!O291,4,2)),VALUE(LEFT(Raw_Data!O291,2))),"Invalid Date"),IFERROR(DATEVALUE(Raw_Data!O291),"Invalid Date"))))</f>
        <v/>
      </c>
      <c r="P291" s="17" t="str">
        <f>IF(OR(TRIM(Raw_Data!P291)="",TRIM(Raw_Data!P291)="N/A",TRIM(Raw_Data!P291)="TBD",TRIM(Raw_Data!P291)="-"),"Not Assigned",PROPER(TRIM(Raw_Data!P291)))</f>
        <v>Central Ordnance Suppliers</v>
      </c>
      <c r="Q291" s="24" t="str">
        <f t="shared" si="24"/>
        <v/>
      </c>
      <c r="R291" s="17" t="str">
        <f t="shared" si="25"/>
        <v/>
      </c>
      <c r="S291" s="17" t="str">
        <f>IF(COUNTIF($A$2:A291,A291)&gt;1,"Duplicate","Unique")</f>
        <v>Duplicate</v>
      </c>
      <c r="T291" s="17" t="str">
        <f t="shared" si="26"/>
        <v>No</v>
      </c>
      <c r="U291" s="17" t="str">
        <f t="shared" si="27"/>
        <v>No</v>
      </c>
      <c r="V291" s="17" t="str">
        <f t="shared" si="28"/>
        <v>No</v>
      </c>
      <c r="W291" s="17" t="str">
        <f t="shared" si="29"/>
        <v>Oct-2025</v>
      </c>
    </row>
    <row r="292" spans="1:23" x14ac:dyDescent="0.3">
      <c r="A292" s="17" t="str">
        <f>TRIM(Raw_Data!A292)</f>
        <v>REQ-2025-0279</v>
      </c>
      <c r="B292" s="22" t="str">
        <f>IF(Raw_Data!B292="","",IF(ISNUMBER(Raw_Data!B292),Raw_Data!B292,IF(ISNUMBER(SEARCH("/",Raw_Data!B292)),IFERROR(DATE(VALUE(RIGHT(Raw_Data!B292,4)),VALUE(MID(Raw_Data!B292,4,2)),VALUE(LEFT(Raw_Data!B292,2))),"Invalid Date"),IFERROR(DATEVALUE(Raw_Data!B292),"Invalid Date"))))</f>
        <v/>
      </c>
      <c r="C292" s="17" t="str">
        <f>IF(TRIM(Raw_Data!C292)="","",PROPER(TRIM(Raw_Data!C292)))</f>
        <v>Unit C - Engineers</v>
      </c>
      <c r="D292" s="17" t="str">
        <f>IF(TRIM(Raw_Data!D292)="","Not Specified",IFERROR(INDEX(Lookup_Tables!$H$6:$H$12,MATCH(TRIM(Raw_Data!D292),Lookup_Tables!$G$6:$G$12,0)),"Unknown - Review"))</f>
        <v>Eastern</v>
      </c>
      <c r="E292" s="17" t="str">
        <f>IF(TRIM(Raw_Data!E292)="","Not Specified",IFERROR(INDEX(Lookup_Tables!$B$6:$B$18,MATCH(TRIM(Raw_Data!E292),Lookup_Tables!$A$6:$A$18,0)),"Unknown - Review"))</f>
        <v>Uniforms &amp; Clothing</v>
      </c>
      <c r="F292" s="17" t="str">
        <f>IF(TRIM(Raw_Data!F292)="","",TRIM(Raw_Data!F292))</f>
        <v>Winter Jacket</v>
      </c>
      <c r="G292" s="17">
        <f>IF(Raw_Data!G292="","",IF(VALUE(Raw_Data!G292)&lt;=0,"Invalid",VALUE(Raw_Data!G292)))</f>
        <v>103</v>
      </c>
      <c r="H292" s="17" t="str">
        <f>IF(Raw_Data!H292="","",IF(VALUE(Raw_Data!H292)&lt;=0,"Invalid",VALUE(Raw_Data!H292)))</f>
        <v/>
      </c>
      <c r="I292" s="23">
        <f>IFERROR(VALUE(SUBSTITUTE(SUBSTITUTE(Raw_Data!I292,"₹",""),",","")),"")</f>
        <v>19270</v>
      </c>
      <c r="J292" s="17" t="str">
        <f>IF(TRIM(Raw_Data!J292)="","Not Specified",PROPER(TRIM(Raw_Data!J292)))</f>
        <v>High</v>
      </c>
      <c r="K292" s="17" t="str">
        <f>IF(TRIM(Raw_Data!K292)="","Not Specified",IFERROR(INDEX(Lookup_Tables!$E$6:$E$13,MATCH(TRIM(Raw_Data!K292),Lookup_Tables!$D$6:$D$13,0)),"Unknown - Review"))</f>
        <v>Pending</v>
      </c>
      <c r="L292" s="17" t="str">
        <f>IF(TRIM(Raw_Data!L292)="","",PROPER(TRIM(Raw_Data!L292)))</f>
        <v>Stores Officer</v>
      </c>
      <c r="M292" s="22" t="str">
        <f>IF(Raw_Data!M292="","",IF(ISNUMBER(Raw_Data!M292),Raw_Data!M292,IF(ISNUMBER(SEARCH("/",Raw_Data!M292)),IFERROR(DATE(VALUE(RIGHT(Raw_Data!M292,4)),VALUE(MID(Raw_Data!M292,4,2)),VALUE(LEFT(Raw_Data!M292,2))),"Invalid Date"),IFERROR(DATEVALUE(Raw_Data!M292),"Invalid Date"))))</f>
        <v/>
      </c>
      <c r="N292" s="22" t="str">
        <f>IF(Raw_Data!N292="","",IF(ISNUMBER(Raw_Data!N292),Raw_Data!N292,IF(ISNUMBER(SEARCH("/",Raw_Data!N292)),IFERROR(DATE(VALUE(RIGHT(Raw_Data!N292,4)),VALUE(MID(Raw_Data!N292,4,2)),VALUE(LEFT(Raw_Data!N292,2))),"Invalid Date"),IFERROR(DATEVALUE(Raw_Data!N292),"Invalid Date"))))</f>
        <v/>
      </c>
      <c r="O292" s="22" t="str">
        <f>IF(Raw_Data!O292="","",IF(ISNUMBER(Raw_Data!O292),Raw_Data!O292,IF(ISNUMBER(SEARCH("/",Raw_Data!O292)),IFERROR(DATE(VALUE(RIGHT(Raw_Data!O292,4)),VALUE(MID(Raw_Data!O292,4,2)),VALUE(LEFT(Raw_Data!O292,2))),"Invalid Date"),IFERROR(DATEVALUE(Raw_Data!O292),"Invalid Date"))))</f>
        <v/>
      </c>
      <c r="P292" s="17" t="str">
        <f>IF(OR(TRIM(Raw_Data!P292)="",TRIM(Raw_Data!P292)="N/A",TRIM(Raw_Data!P292)="TBD",TRIM(Raw_Data!P292)="-"),"Not Assigned",PROPER(TRIM(Raw_Data!P292)))</f>
        <v>Not Assigned</v>
      </c>
      <c r="Q292" s="24" t="str">
        <f t="shared" si="24"/>
        <v/>
      </c>
      <c r="R292" s="17" t="str">
        <f t="shared" si="25"/>
        <v/>
      </c>
      <c r="S292" s="17" t="str">
        <f>IF(COUNTIF($A$2:A292,A292)&gt;1,"Duplicate","Unique")</f>
        <v>Duplicate</v>
      </c>
      <c r="T292" s="17" t="str">
        <f t="shared" si="26"/>
        <v>No</v>
      </c>
      <c r="U292" s="17" t="str">
        <f t="shared" si="27"/>
        <v>No</v>
      </c>
      <c r="V292" s="17" t="str">
        <f t="shared" si="28"/>
        <v>No</v>
      </c>
      <c r="W292" s="17" t="str">
        <f t="shared" si="29"/>
        <v/>
      </c>
    </row>
    <row r="293" spans="1:23" x14ac:dyDescent="0.3">
      <c r="A293" s="17" t="str">
        <f>TRIM(Raw_Data!A293)</f>
        <v>REQ-2025-0152</v>
      </c>
      <c r="B293" s="22">
        <f>IF(Raw_Data!B293="","",IF(ISNUMBER(Raw_Data!B293),Raw_Data!B293,IF(ISNUMBER(SEARCH("/",Raw_Data!B293)),IFERROR(DATE(VALUE(RIGHT(Raw_Data!B293,4)),VALUE(MID(Raw_Data!B293,4,2)),VALUE(LEFT(Raw_Data!B293,2))),"Invalid Date"),IFERROR(DATEVALUE(Raw_Data!B293),"Invalid Date"))))</f>
        <v>45823</v>
      </c>
      <c r="C293" s="17" t="str">
        <f>IF(TRIM(Raw_Data!C293)="","",PROPER(TRIM(Raw_Data!C293)))</f>
        <v>Unit D - Signals</v>
      </c>
      <c r="D293" s="17" t="str">
        <f>IF(TRIM(Raw_Data!D293)="","Not Specified",IFERROR(INDEX(Lookup_Tables!$H$6:$H$12,MATCH(TRIM(Raw_Data!D293),Lookup_Tables!$G$6:$G$12,0)),"Unknown - Review"))</f>
        <v>Western</v>
      </c>
      <c r="E293" s="17" t="str">
        <f>IF(TRIM(Raw_Data!E293)="","Not Specified",IFERROR(INDEX(Lookup_Tables!$B$6:$B$18,MATCH(TRIM(Raw_Data!E293),Lookup_Tables!$A$6:$A$18,0)),"Unknown - Review"))</f>
        <v>Communication Equipment</v>
      </c>
      <c r="F293" s="17" t="str">
        <f>IF(TRIM(Raw_Data!F293)="","",TRIM(Raw_Data!F293))</f>
        <v>Antenna Unit</v>
      </c>
      <c r="G293" s="17">
        <f>IF(Raw_Data!G293="","",IF(VALUE(Raw_Data!G293)&lt;=0,"Invalid",VALUE(Raw_Data!G293)))</f>
        <v>348</v>
      </c>
      <c r="H293" s="17">
        <f>IF(Raw_Data!H293="","",IF(VALUE(Raw_Data!H293)&lt;=0,"Invalid",VALUE(Raw_Data!H293)))</f>
        <v>263</v>
      </c>
      <c r="I293" s="23">
        <f>IFERROR(VALUE(SUBSTITUTE(SUBSTITUTE(Raw_Data!I293,"₹",""),",","")),"")</f>
        <v>15601.94</v>
      </c>
      <c r="J293" s="17" t="str">
        <f>IF(TRIM(Raw_Data!J293)="","Not Specified",PROPER(TRIM(Raw_Data!J293)))</f>
        <v>High</v>
      </c>
      <c r="K293" s="17" t="str">
        <f>IF(TRIM(Raw_Data!K293)="","Not Specified",IFERROR(INDEX(Lookup_Tables!$E$6:$E$13,MATCH(TRIM(Raw_Data!K293),Lookup_Tables!$D$6:$D$13,0)),"Unknown - Review"))</f>
        <v>Delivered</v>
      </c>
      <c r="L293" s="17" t="str">
        <f>IF(TRIM(Raw_Data!L293)="","",PROPER(TRIM(Raw_Data!L293)))</f>
        <v>Quartermaster</v>
      </c>
      <c r="M293" s="22">
        <f>IF(Raw_Data!M293="","",IF(ISNUMBER(Raw_Data!M293),Raw_Data!M293,IF(ISNUMBER(SEARCH("/",Raw_Data!M293)),IFERROR(DATE(VALUE(RIGHT(Raw_Data!M293,4)),VALUE(MID(Raw_Data!M293,4,2)),VALUE(LEFT(Raw_Data!M293,2))),"Invalid Date"),IFERROR(DATEVALUE(Raw_Data!M293),"Invalid Date"))))</f>
        <v>45824</v>
      </c>
      <c r="N293" s="22">
        <f>IF(Raw_Data!N293="","",IF(ISNUMBER(Raw_Data!N293),Raw_Data!N293,IF(ISNUMBER(SEARCH("/",Raw_Data!N293)),IFERROR(DATE(VALUE(RIGHT(Raw_Data!N293,4)),VALUE(MID(Raw_Data!N293,4,2)),VALUE(LEFT(Raw_Data!N293,2))),"Invalid Date"),IFERROR(DATEVALUE(Raw_Data!N293),"Invalid Date"))))</f>
        <v>45853</v>
      </c>
      <c r="O293" s="22">
        <f>IF(Raw_Data!O293="","",IF(ISNUMBER(Raw_Data!O293),Raw_Data!O293,IF(ISNUMBER(SEARCH("/",Raw_Data!O293)),IFERROR(DATE(VALUE(RIGHT(Raw_Data!O293,4)),VALUE(MID(Raw_Data!O293,4,2)),VALUE(LEFT(Raw_Data!O293,2))),"Invalid Date"),IFERROR(DATEVALUE(Raw_Data!O293),"Invalid Date"))))</f>
        <v>45857</v>
      </c>
      <c r="P293" s="17" t="str">
        <f>IF(OR(TRIM(Raw_Data!P293)="",TRIM(Raw_Data!P293)="N/A",TRIM(Raw_Data!P293)="TBD",TRIM(Raw_Data!P293)="-"),"Not Assigned",PROPER(TRIM(Raw_Data!P293)))</f>
        <v>National Defence Stores</v>
      </c>
      <c r="Q293" s="24">
        <f t="shared" si="24"/>
        <v>4103310.22</v>
      </c>
      <c r="R293" s="17">
        <f t="shared" si="25"/>
        <v>4</v>
      </c>
      <c r="S293" s="17" t="str">
        <f>IF(COUNTIF($A$2:A293,A293)&gt;1,"Duplicate","Unique")</f>
        <v>Duplicate</v>
      </c>
      <c r="T293" s="17" t="str">
        <f t="shared" si="26"/>
        <v>No</v>
      </c>
      <c r="U293" s="17" t="str">
        <f t="shared" si="27"/>
        <v>No</v>
      </c>
      <c r="V293" s="17" t="str">
        <f t="shared" si="28"/>
        <v>No</v>
      </c>
      <c r="W293" s="17" t="str">
        <f t="shared" si="29"/>
        <v>Jun-2025</v>
      </c>
    </row>
    <row r="294" spans="1:23" x14ac:dyDescent="0.3">
      <c r="A294" s="17" t="str">
        <f>TRIM(Raw_Data!A294)</f>
        <v>REQ-2025-0053</v>
      </c>
      <c r="B294" s="22">
        <f>IF(Raw_Data!B294="","",IF(ISNUMBER(Raw_Data!B294),Raw_Data!B294,IF(ISNUMBER(SEARCH("/",Raw_Data!B294)),IFERROR(DATE(VALUE(RIGHT(Raw_Data!B294,4)),VALUE(MID(Raw_Data!B294,4,2)),VALUE(LEFT(Raw_Data!B294,2))),"Invalid Date"),IFERROR(DATEVALUE(Raw_Data!B294),"Invalid Date"))))</f>
        <v>45950</v>
      </c>
      <c r="C294" s="17" t="str">
        <f>IF(TRIM(Raw_Data!C294)="","",PROPER(TRIM(Raw_Data!C294)))</f>
        <v>Unit A - Infantry</v>
      </c>
      <c r="D294" s="17" t="str">
        <f>IF(TRIM(Raw_Data!D294)="","Not Specified",IFERROR(INDEX(Lookup_Tables!$H$6:$H$12,MATCH(TRIM(Raw_Data!D294),Lookup_Tables!$G$6:$G$12,0)),"Unknown - Review"))</f>
        <v>Northern</v>
      </c>
      <c r="E294" s="17" t="str">
        <f>IF(TRIM(Raw_Data!E294)="","Not Specified",IFERROR(INDEX(Lookup_Tables!$B$6:$B$18,MATCH(TRIM(Raw_Data!E294),Lookup_Tables!$A$6:$A$18,0)),"Unknown - Review"))</f>
        <v>Communication Equipment</v>
      </c>
      <c r="F294" s="17" t="str">
        <f>IF(TRIM(Raw_Data!F294)="","",TRIM(Raw_Data!F294))</f>
        <v>Signal Cable (100m)</v>
      </c>
      <c r="G294" s="17">
        <f>IF(Raw_Data!G294="","",IF(VALUE(Raw_Data!G294)&lt;=0,"Invalid",VALUE(Raw_Data!G294)))</f>
        <v>460</v>
      </c>
      <c r="H294" s="17" t="str">
        <f>IF(Raw_Data!H294="","",IF(VALUE(Raw_Data!H294)&lt;=0,"Invalid",VALUE(Raw_Data!H294)))</f>
        <v/>
      </c>
      <c r="I294" s="23">
        <f>IFERROR(VALUE(SUBSTITUTE(SUBSTITUTE(Raw_Data!I294,"₹",""),",","")),"")</f>
        <v>43055.76</v>
      </c>
      <c r="J294" s="17" t="str">
        <f>IF(TRIM(Raw_Data!J294)="","Not Specified",PROPER(TRIM(Raw_Data!J294)))</f>
        <v>High</v>
      </c>
      <c r="K294" s="17" t="str">
        <f>IF(TRIM(Raw_Data!K294)="","Not Specified",IFERROR(INDEX(Lookup_Tables!$E$6:$E$13,MATCH(TRIM(Raw_Data!K294),Lookup_Tables!$D$6:$D$13,0)),"Unknown - Review"))</f>
        <v>Rejected</v>
      </c>
      <c r="L294" s="17" t="str">
        <f>IF(TRIM(Raw_Data!L294)="","",PROPER(TRIM(Raw_Data!L294)))</f>
        <v>Unit Commander</v>
      </c>
      <c r="M294" s="22" t="str">
        <f>IF(Raw_Data!M294="","",IF(ISNUMBER(Raw_Data!M294),Raw_Data!M294,IF(ISNUMBER(SEARCH("/",Raw_Data!M294)),IFERROR(DATE(VALUE(RIGHT(Raw_Data!M294,4)),VALUE(MID(Raw_Data!M294,4,2)),VALUE(LEFT(Raw_Data!M294,2))),"Invalid Date"),IFERROR(DATEVALUE(Raw_Data!M294),"Invalid Date"))))</f>
        <v/>
      </c>
      <c r="N294" s="22" t="str">
        <f>IF(Raw_Data!N294="","",IF(ISNUMBER(Raw_Data!N294),Raw_Data!N294,IF(ISNUMBER(SEARCH("/",Raw_Data!N294)),IFERROR(DATE(VALUE(RIGHT(Raw_Data!N294,4)),VALUE(MID(Raw_Data!N294,4,2)),VALUE(LEFT(Raw_Data!N294,2))),"Invalid Date"),IFERROR(DATEVALUE(Raw_Data!N294),"Invalid Date"))))</f>
        <v/>
      </c>
      <c r="O294" s="22" t="str">
        <f>IF(Raw_Data!O294="","",IF(ISNUMBER(Raw_Data!O294),Raw_Data!O294,IF(ISNUMBER(SEARCH("/",Raw_Data!O294)),IFERROR(DATE(VALUE(RIGHT(Raw_Data!O294,4)),VALUE(MID(Raw_Data!O294,4,2)),VALUE(LEFT(Raw_Data!O294,2))),"Invalid Date"),IFERROR(DATEVALUE(Raw_Data!O294),"Invalid Date"))))</f>
        <v/>
      </c>
      <c r="P294" s="17" t="str">
        <f>IF(OR(TRIM(Raw_Data!P294)="",TRIM(Raw_Data!P294)="N/A",TRIM(Raw_Data!P294)="TBD",TRIM(Raw_Data!P294)="-"),"Not Assigned",PROPER(TRIM(Raw_Data!P294)))</f>
        <v>Central Ordnance Suppliers</v>
      </c>
      <c r="Q294" s="24" t="str">
        <f t="shared" si="24"/>
        <v/>
      </c>
      <c r="R294" s="17" t="str">
        <f t="shared" si="25"/>
        <v/>
      </c>
      <c r="S294" s="17" t="str">
        <f>IF(COUNTIF($A$2:A294,A294)&gt;1,"Duplicate","Unique")</f>
        <v>Duplicate</v>
      </c>
      <c r="T294" s="17" t="str">
        <f t="shared" si="26"/>
        <v>No</v>
      </c>
      <c r="U294" s="17" t="str">
        <f t="shared" si="27"/>
        <v>No</v>
      </c>
      <c r="V294" s="17" t="str">
        <f t="shared" si="28"/>
        <v>No</v>
      </c>
      <c r="W294" s="17" t="str">
        <f t="shared" si="29"/>
        <v>Oct-2025</v>
      </c>
    </row>
    <row r="295" spans="1:23" x14ac:dyDescent="0.3">
      <c r="A295" s="17" t="str">
        <f>TRIM(Raw_Data!A295)</f>
        <v>REQ-2025-0262</v>
      </c>
      <c r="B295" s="22">
        <f>IF(Raw_Data!B295="","",IF(ISNUMBER(Raw_Data!B295),Raw_Data!B295,IF(ISNUMBER(SEARCH("/",Raw_Data!B295)),IFERROR(DATE(VALUE(RIGHT(Raw_Data!B295,4)),VALUE(MID(Raw_Data!B295,4,2)),VALUE(LEFT(Raw_Data!B295,2))),"Invalid Date"),IFERROR(DATEVALUE(Raw_Data!B295),"Invalid Date"))))</f>
        <v>45971</v>
      </c>
      <c r="C295" s="17" t="str">
        <f>IF(TRIM(Raw_Data!C295)="","",PROPER(TRIM(Raw_Data!C295)))</f>
        <v>Unit H - Air Defence</v>
      </c>
      <c r="D295" s="17" t="str">
        <f>IF(TRIM(Raw_Data!D295)="","Not Specified",IFERROR(INDEX(Lookup_Tables!$H$6:$H$12,MATCH(TRIM(Raw_Data!D295),Lookup_Tables!$G$6:$G$12,0)),"Unknown - Review"))</f>
        <v>Eastern</v>
      </c>
      <c r="E295" s="17" t="str">
        <f>IF(TRIM(Raw_Data!E295)="","Not Specified",IFERROR(INDEX(Lookup_Tables!$B$6:$B$18,MATCH(TRIM(Raw_Data!E295),Lookup_Tables!$A$6:$A$18,0)),"Unknown - Review"))</f>
        <v>Office &amp; IT Equipment</v>
      </c>
      <c r="F295" s="17" t="str">
        <f>IF(TRIM(Raw_Data!F295)="","",TRIM(Raw_Data!F295))</f>
        <v>Filing Cabinet</v>
      </c>
      <c r="G295" s="17">
        <f>IF(Raw_Data!G295="","",IF(VALUE(Raw_Data!G295)&lt;=0,"Invalid",VALUE(Raw_Data!G295)))</f>
        <v>485</v>
      </c>
      <c r="H295" s="17">
        <f>IF(Raw_Data!H295="","",IF(VALUE(Raw_Data!H295)&lt;=0,"Invalid",VALUE(Raw_Data!H295)))</f>
        <v>483</v>
      </c>
      <c r="I295" s="23" t="str">
        <f>IFERROR(VALUE(SUBSTITUTE(SUBSTITUTE(Raw_Data!I295,"₹",""),",","")),"")</f>
        <v/>
      </c>
      <c r="J295" s="17" t="str">
        <f>IF(TRIM(Raw_Data!J295)="","Not Specified",PROPER(TRIM(Raw_Data!J295)))</f>
        <v>Low</v>
      </c>
      <c r="K295" s="17" t="str">
        <f>IF(TRIM(Raw_Data!K295)="","Not Specified",IFERROR(INDEX(Lookup_Tables!$E$6:$E$13,MATCH(TRIM(Raw_Data!K295),Lookup_Tables!$D$6:$D$13,0)),"Unknown - Review"))</f>
        <v>Delivered</v>
      </c>
      <c r="L295" s="17" t="str">
        <f>IF(TRIM(Raw_Data!L295)="","",PROPER(TRIM(Raw_Data!L295)))</f>
        <v>Unit Commander</v>
      </c>
      <c r="M295" s="22">
        <f>IF(Raw_Data!M295="","",IF(ISNUMBER(Raw_Data!M295),Raw_Data!M295,IF(ISNUMBER(SEARCH("/",Raw_Data!M295)),IFERROR(DATE(VALUE(RIGHT(Raw_Data!M295,4)),VALUE(MID(Raw_Data!M295,4,2)),VALUE(LEFT(Raw_Data!M295,2))),"Invalid Date"),IFERROR(DATEVALUE(Raw_Data!M295),"Invalid Date"))))</f>
        <v>45973</v>
      </c>
      <c r="N295" s="22">
        <f>IF(Raw_Data!N295="","",IF(ISNUMBER(Raw_Data!N295),Raw_Data!N295,IF(ISNUMBER(SEARCH("/",Raw_Data!N295)),IFERROR(DATE(VALUE(RIGHT(Raw_Data!N295,4)),VALUE(MID(Raw_Data!N295,4,2)),VALUE(LEFT(Raw_Data!N295,2))),"Invalid Date"),IFERROR(DATEVALUE(Raw_Data!N295),"Invalid Date"))))</f>
        <v>46001</v>
      </c>
      <c r="O295" s="22">
        <f>IF(Raw_Data!O295="","",IF(ISNUMBER(Raw_Data!O295),Raw_Data!O295,IF(ISNUMBER(SEARCH("/",Raw_Data!O295)),IFERROR(DATE(VALUE(RIGHT(Raw_Data!O295,4)),VALUE(MID(Raw_Data!O295,4,2)),VALUE(LEFT(Raw_Data!O295,2))),"Invalid Date"),IFERROR(DATEVALUE(Raw_Data!O295),"Invalid Date"))))</f>
        <v>46008</v>
      </c>
      <c r="P295" s="17" t="str">
        <f>IF(OR(TRIM(Raw_Data!P295)="",TRIM(Raw_Data!P295)="N/A",TRIM(Raw_Data!P295)="TBD",TRIM(Raw_Data!P295)="-"),"Not Assigned",PROPER(TRIM(Raw_Data!P295)))</f>
        <v>Shakti Traders</v>
      </c>
      <c r="Q295" s="24" t="str">
        <f t="shared" si="24"/>
        <v/>
      </c>
      <c r="R295" s="17">
        <f t="shared" si="25"/>
        <v>7</v>
      </c>
      <c r="S295" s="17" t="str">
        <f>IF(COUNTIF($A$2:A295,A295)&gt;1,"Duplicate","Unique")</f>
        <v>Duplicate</v>
      </c>
      <c r="T295" s="17" t="str">
        <f t="shared" si="26"/>
        <v>No</v>
      </c>
      <c r="U295" s="17" t="str">
        <f t="shared" si="27"/>
        <v>No</v>
      </c>
      <c r="V295" s="17" t="str">
        <f t="shared" si="28"/>
        <v>No</v>
      </c>
      <c r="W295" s="17" t="str">
        <f t="shared" si="29"/>
        <v>Nov-2025</v>
      </c>
    </row>
    <row r="296" spans="1:23" x14ac:dyDescent="0.3">
      <c r="A296" s="17" t="str">
        <f>TRIM(Raw_Data!A296)</f>
        <v>REQ-2025-0213</v>
      </c>
      <c r="B296" s="22">
        <f>IF(Raw_Data!B296="","",IF(ISNUMBER(Raw_Data!B296),Raw_Data!B296,IF(ISNUMBER(SEARCH("/",Raw_Data!B296)),IFERROR(DATE(VALUE(RIGHT(Raw_Data!B296,4)),VALUE(MID(Raw_Data!B296,4,2)),VALUE(LEFT(Raw_Data!B296,2))),"Invalid Date"),IFERROR(DATEVALUE(Raw_Data!B296),"Invalid Date"))))</f>
        <v>45684</v>
      </c>
      <c r="C296" s="17" t="str">
        <f>IF(TRIM(Raw_Data!C296)="","",PROPER(TRIM(Raw_Data!C296)))</f>
        <v>Unit E - Medical Corps</v>
      </c>
      <c r="D296" s="17" t="str">
        <f>IF(TRIM(Raw_Data!D296)="","Not Specified",IFERROR(INDEX(Lookup_Tables!$H$6:$H$12,MATCH(TRIM(Raw_Data!D296),Lookup_Tables!$G$6:$G$12,0)),"Unknown - Review"))</f>
        <v>Central</v>
      </c>
      <c r="E296" s="17" t="str">
        <f>IF(TRIM(Raw_Data!E296)="","Not Specified",IFERROR(INDEX(Lookup_Tables!$B$6:$B$18,MATCH(TRIM(Raw_Data!E296),Lookup_Tables!$A$6:$A$18,0)),"Unknown - Review"))</f>
        <v>Tents &amp; Shelter</v>
      </c>
      <c r="F296" s="17" t="str">
        <f>IF(TRIM(Raw_Data!F296)="","",TRIM(Raw_Data!F296))</f>
        <v>10-Man Tent</v>
      </c>
      <c r="G296" s="17">
        <f>IF(Raw_Data!G296="","",IF(VALUE(Raw_Data!G296)&lt;=0,"Invalid",VALUE(Raw_Data!G296)))</f>
        <v>470</v>
      </c>
      <c r="H296" s="17">
        <f>IF(Raw_Data!H296="","",IF(VALUE(Raw_Data!H296)&lt;=0,"Invalid",VALUE(Raw_Data!H296)))</f>
        <v>423</v>
      </c>
      <c r="I296" s="23" t="str">
        <f>IFERROR(VALUE(SUBSTITUTE(SUBSTITUTE(Raw_Data!I296,"₹",""),",","")),"")</f>
        <v/>
      </c>
      <c r="J296" s="17" t="str">
        <f>IF(TRIM(Raw_Data!J296)="","Not Specified",PROPER(TRIM(Raw_Data!J296)))</f>
        <v>Medium</v>
      </c>
      <c r="K296" s="17" t="str">
        <f>IF(TRIM(Raw_Data!K296)="","Not Specified",IFERROR(INDEX(Lookup_Tables!$E$6:$E$13,MATCH(TRIM(Raw_Data!K296),Lookup_Tables!$D$6:$D$13,0)),"Unknown - Review"))</f>
        <v>Approved</v>
      </c>
      <c r="L296" s="17" t="str">
        <f>IF(TRIM(Raw_Data!L296)="","",PROPER(TRIM(Raw_Data!L296)))</f>
        <v>Unit Commander</v>
      </c>
      <c r="M296" s="22">
        <f>IF(Raw_Data!M296="","",IF(ISNUMBER(Raw_Data!M296),Raw_Data!M296,IF(ISNUMBER(SEARCH("/",Raw_Data!M296)),IFERROR(DATE(VALUE(RIGHT(Raw_Data!M296,4)),VALUE(MID(Raw_Data!M296,4,2)),VALUE(LEFT(Raw_Data!M296,2))),"Invalid Date"),IFERROR(DATEVALUE(Raw_Data!M296),"Invalid Date"))))</f>
        <v>45685</v>
      </c>
      <c r="N296" s="22">
        <f>IF(Raw_Data!N296="","",IF(ISNUMBER(Raw_Data!N296),Raw_Data!N296,IF(ISNUMBER(SEARCH("/",Raw_Data!N296)),IFERROR(DATE(VALUE(RIGHT(Raw_Data!N296,4)),VALUE(MID(Raw_Data!N296,4,2)),VALUE(LEFT(Raw_Data!N296,2))),"Invalid Date"),IFERROR(DATEVALUE(Raw_Data!N296),"Invalid Date"))))</f>
        <v>45690</v>
      </c>
      <c r="O296" s="22" t="str">
        <f>IF(Raw_Data!O296="","",IF(ISNUMBER(Raw_Data!O296),Raw_Data!O296,IF(ISNUMBER(SEARCH("/",Raw_Data!O296)),IFERROR(DATE(VALUE(RIGHT(Raw_Data!O296,4)),VALUE(MID(Raw_Data!O296,4,2)),VALUE(LEFT(Raw_Data!O296,2))),"Invalid Date"),IFERROR(DATEVALUE(Raw_Data!O296),"Invalid Date"))))</f>
        <v/>
      </c>
      <c r="P296" s="17" t="str">
        <f>IF(OR(TRIM(Raw_Data!P296)="",TRIM(Raw_Data!P296)="N/A",TRIM(Raw_Data!P296)="TBD",TRIM(Raw_Data!P296)="-"),"Not Assigned",PROPER(TRIM(Raw_Data!P296)))</f>
        <v>Shakti Traders</v>
      </c>
      <c r="Q296" s="24" t="str">
        <f t="shared" si="24"/>
        <v/>
      </c>
      <c r="R296" s="17" t="str">
        <f t="shared" si="25"/>
        <v/>
      </c>
      <c r="S296" s="17" t="str">
        <f>IF(COUNTIF($A$2:A296,A296)&gt;1,"Duplicate","Unique")</f>
        <v>Duplicate</v>
      </c>
      <c r="T296" s="17" t="str">
        <f t="shared" si="26"/>
        <v>No</v>
      </c>
      <c r="U296" s="17" t="str">
        <f t="shared" si="27"/>
        <v>No</v>
      </c>
      <c r="V296" s="17" t="str">
        <f t="shared" si="28"/>
        <v>No</v>
      </c>
      <c r="W296" s="17" t="str">
        <f t="shared" si="29"/>
        <v>Jan-2025</v>
      </c>
    </row>
    <row r="297" spans="1:23" x14ac:dyDescent="0.3">
      <c r="A297" s="17" t="str">
        <f>TRIM(Raw_Data!A297)</f>
        <v>REQ-2025-0073</v>
      </c>
      <c r="B297" s="22">
        <f>IF(Raw_Data!B297="","",IF(ISNUMBER(Raw_Data!B297),Raw_Data!B297,IF(ISNUMBER(SEARCH("/",Raw_Data!B297)),IFERROR(DATE(VALUE(RIGHT(Raw_Data!B297,4)),VALUE(MID(Raw_Data!B297,4,2)),VALUE(LEFT(Raw_Data!B297,2))),"Invalid Date"),IFERROR(DATEVALUE(Raw_Data!B297),"Invalid Date"))))</f>
        <v>45941</v>
      </c>
      <c r="C297" s="17" t="str">
        <f>IF(TRIM(Raw_Data!C297)="","",PROPER(TRIM(Raw_Data!C297)))</f>
        <v>Unit G - Transport Corps</v>
      </c>
      <c r="D297" s="17" t="str">
        <f>IF(TRIM(Raw_Data!D297)="","Not Specified",IFERROR(INDEX(Lookup_Tables!$H$6:$H$12,MATCH(TRIM(Raw_Data!D297),Lookup_Tables!$G$6:$G$12,0)),"Unknown - Review"))</f>
        <v>Southern</v>
      </c>
      <c r="E297" s="17" t="str">
        <f>IF(TRIM(Raw_Data!E297)="","Not Specified",IFERROR(INDEX(Lookup_Tables!$B$6:$B$18,MATCH(TRIM(Raw_Data!E297),Lookup_Tables!$A$6:$A$18,0)),"Unknown - Review"))</f>
        <v>Vehicle Spares</v>
      </c>
      <c r="F297" s="17" t="str">
        <f>IF(TRIM(Raw_Data!F297)="","",TRIM(Raw_Data!F297))</f>
        <v>Engine Oil Filter</v>
      </c>
      <c r="G297" s="17">
        <f>IF(Raw_Data!G297="","",IF(VALUE(Raw_Data!G297)&lt;=0,"Invalid",VALUE(Raw_Data!G297)))</f>
        <v>11</v>
      </c>
      <c r="H297" s="17" t="str">
        <f>IF(Raw_Data!H297="","",IF(VALUE(Raw_Data!H297)&lt;=0,"Invalid",VALUE(Raw_Data!H297)))</f>
        <v/>
      </c>
      <c r="I297" s="23" t="str">
        <f>IFERROR(VALUE(SUBSTITUTE(SUBSTITUTE(Raw_Data!I297,"₹",""),",","")),"")</f>
        <v/>
      </c>
      <c r="J297" s="17" t="str">
        <f>IF(TRIM(Raw_Data!J297)="","Not Specified",PROPER(TRIM(Raw_Data!J297)))</f>
        <v>Low</v>
      </c>
      <c r="K297" s="17" t="str">
        <f>IF(TRIM(Raw_Data!K297)="","Not Specified",IFERROR(INDEX(Lookup_Tables!$E$6:$E$13,MATCH(TRIM(Raw_Data!K297),Lookup_Tables!$D$6:$D$13,0)),"Unknown - Review"))</f>
        <v>Pending</v>
      </c>
      <c r="L297" s="17" t="str">
        <f>IF(TRIM(Raw_Data!L297)="","",PROPER(TRIM(Raw_Data!L297)))</f>
        <v>Unit Commander</v>
      </c>
      <c r="M297" s="22" t="str">
        <f>IF(Raw_Data!M297="","",IF(ISNUMBER(Raw_Data!M297),Raw_Data!M297,IF(ISNUMBER(SEARCH("/",Raw_Data!M297)),IFERROR(DATE(VALUE(RIGHT(Raw_Data!M297,4)),VALUE(MID(Raw_Data!M297,4,2)),VALUE(LEFT(Raw_Data!M297,2))),"Invalid Date"),IFERROR(DATEVALUE(Raw_Data!M297),"Invalid Date"))))</f>
        <v/>
      </c>
      <c r="N297" s="22" t="str">
        <f>IF(Raw_Data!N297="","",IF(ISNUMBER(Raw_Data!N297),Raw_Data!N297,IF(ISNUMBER(SEARCH("/",Raw_Data!N297)),IFERROR(DATE(VALUE(RIGHT(Raw_Data!N297,4)),VALUE(MID(Raw_Data!N297,4,2)),VALUE(LEFT(Raw_Data!N297,2))),"Invalid Date"),IFERROR(DATEVALUE(Raw_Data!N297),"Invalid Date"))))</f>
        <v/>
      </c>
      <c r="O297" s="22" t="str">
        <f>IF(Raw_Data!O297="","",IF(ISNUMBER(Raw_Data!O297),Raw_Data!O297,IF(ISNUMBER(SEARCH("/",Raw_Data!O297)),IFERROR(DATE(VALUE(RIGHT(Raw_Data!O297,4)),VALUE(MID(Raw_Data!O297,4,2)),VALUE(LEFT(Raw_Data!O297,2))),"Invalid Date"),IFERROR(DATEVALUE(Raw_Data!O297),"Invalid Date"))))</f>
        <v/>
      </c>
      <c r="P297" s="17" t="str">
        <f>IF(OR(TRIM(Raw_Data!P297)="",TRIM(Raw_Data!P297)="N/A",TRIM(Raw_Data!P297)="TBD",TRIM(Raw_Data!P297)="-"),"Not Assigned",PROPER(TRIM(Raw_Data!P297)))</f>
        <v>Vikram Enterprises</v>
      </c>
      <c r="Q297" s="24" t="str">
        <f t="shared" si="24"/>
        <v/>
      </c>
      <c r="R297" s="17" t="str">
        <f t="shared" si="25"/>
        <v/>
      </c>
      <c r="S297" s="17" t="str">
        <f>IF(COUNTIF($A$2:A297,A297)&gt;1,"Duplicate","Unique")</f>
        <v>Duplicate</v>
      </c>
      <c r="T297" s="17" t="str">
        <f t="shared" si="26"/>
        <v>No</v>
      </c>
      <c r="U297" s="17" t="str">
        <f t="shared" si="27"/>
        <v>No</v>
      </c>
      <c r="V297" s="17" t="str">
        <f t="shared" si="28"/>
        <v>No</v>
      </c>
      <c r="W297" s="17" t="str">
        <f t="shared" si="29"/>
        <v>Oct-2025</v>
      </c>
    </row>
    <row r="298" spans="1:23" x14ac:dyDescent="0.3">
      <c r="A298" s="17" t="str">
        <f>TRIM(Raw_Data!A298)</f>
        <v>REQ-2025-0001</v>
      </c>
      <c r="B298" s="22">
        <f>IF(Raw_Data!B298="","",IF(ISNUMBER(Raw_Data!B298),Raw_Data!B298,IF(ISNUMBER(SEARCH("/",Raw_Data!B298)),IFERROR(DATE(VALUE(RIGHT(Raw_Data!B298,4)),VALUE(MID(Raw_Data!B298,4,2)),VALUE(LEFT(Raw_Data!B298,2))),"Invalid Date"),IFERROR(DATEVALUE(Raw_Data!B298),"Invalid Date"))))</f>
        <v>45772</v>
      </c>
      <c r="C298" s="17" t="str">
        <f>IF(TRIM(Raw_Data!C298)="","",PROPER(TRIM(Raw_Data!C298)))</f>
        <v>Unit B - Artillery</v>
      </c>
      <c r="D298" s="17" t="str">
        <f>IF(TRIM(Raw_Data!D298)="","Not Specified",IFERROR(INDEX(Lookup_Tables!$H$6:$H$12,MATCH(TRIM(Raw_Data!D298),Lookup_Tables!$G$6:$G$12,0)),"Unknown - Review"))</f>
        <v>Southern</v>
      </c>
      <c r="E298" s="17" t="str">
        <f>IF(TRIM(Raw_Data!E298)="","Not Specified",IFERROR(INDEX(Lookup_Tables!$B$6:$B$18,MATCH(TRIM(Raw_Data!E298),Lookup_Tables!$A$6:$A$18,0)),"Unknown - Review"))</f>
        <v>Communication Equipment</v>
      </c>
      <c r="F298" s="17" t="str">
        <f>IF(TRIM(Raw_Data!F298)="","",TRIM(Raw_Data!F298))</f>
        <v>Signal Cable (100m)</v>
      </c>
      <c r="G298" s="17">
        <f>IF(Raw_Data!G298="","",IF(VALUE(Raw_Data!G298)&lt;=0,"Invalid",VALUE(Raw_Data!G298)))</f>
        <v>307</v>
      </c>
      <c r="H298" s="17" t="str">
        <f>IF(Raw_Data!H298="","",IF(VALUE(Raw_Data!H298)&lt;=0,"Invalid",VALUE(Raw_Data!H298)))</f>
        <v/>
      </c>
      <c r="I298" s="23">
        <f>IFERROR(VALUE(SUBSTITUTE(SUBSTITUTE(Raw_Data!I298,"₹",""),",","")),"")</f>
        <v>1486.41</v>
      </c>
      <c r="J298" s="17" t="str">
        <f>IF(TRIM(Raw_Data!J298)="","Not Specified",PROPER(TRIM(Raw_Data!J298)))</f>
        <v>High</v>
      </c>
      <c r="K298" s="17" t="str">
        <f>IF(TRIM(Raw_Data!K298)="","Not Specified",IFERROR(INDEX(Lookup_Tables!$E$6:$E$13,MATCH(TRIM(Raw_Data!K298),Lookup_Tables!$D$6:$D$13,0)),"Unknown - Review"))</f>
        <v>Pending</v>
      </c>
      <c r="L298" s="17" t="str">
        <f>IF(TRIM(Raw_Data!L298)="","",PROPER(TRIM(Raw_Data!L298)))</f>
        <v>Quartermaster</v>
      </c>
      <c r="M298" s="22" t="str">
        <f>IF(Raw_Data!M298="","",IF(ISNUMBER(Raw_Data!M298),Raw_Data!M298,IF(ISNUMBER(SEARCH("/",Raw_Data!M298)),IFERROR(DATE(VALUE(RIGHT(Raw_Data!M298,4)),VALUE(MID(Raw_Data!M298,4,2)),VALUE(LEFT(Raw_Data!M298,2))),"Invalid Date"),IFERROR(DATEVALUE(Raw_Data!M298),"Invalid Date"))))</f>
        <v/>
      </c>
      <c r="N298" s="22" t="str">
        <f>IF(Raw_Data!N298="","",IF(ISNUMBER(Raw_Data!N298),Raw_Data!N298,IF(ISNUMBER(SEARCH("/",Raw_Data!N298)),IFERROR(DATE(VALUE(RIGHT(Raw_Data!N298,4)),VALUE(MID(Raw_Data!N298,4,2)),VALUE(LEFT(Raw_Data!N298,2))),"Invalid Date"),IFERROR(DATEVALUE(Raw_Data!N298),"Invalid Date"))))</f>
        <v/>
      </c>
      <c r="O298" s="22" t="str">
        <f>IF(Raw_Data!O298="","",IF(ISNUMBER(Raw_Data!O298),Raw_Data!O298,IF(ISNUMBER(SEARCH("/",Raw_Data!O298)),IFERROR(DATE(VALUE(RIGHT(Raw_Data!O298,4)),VALUE(MID(Raw_Data!O298,4,2)),VALUE(LEFT(Raw_Data!O298,2))),"Invalid Date"),IFERROR(DATEVALUE(Raw_Data!O298),"Invalid Date"))))</f>
        <v/>
      </c>
      <c r="P298" s="17" t="str">
        <f>IF(OR(TRIM(Raw_Data!P298)="",TRIM(Raw_Data!P298)="N/A",TRIM(Raw_Data!P298)="TBD",TRIM(Raw_Data!P298)="-"),"Not Assigned",PROPER(TRIM(Raw_Data!P298)))</f>
        <v>Not Assigned</v>
      </c>
      <c r="Q298" s="24" t="str">
        <f t="shared" si="24"/>
        <v/>
      </c>
      <c r="R298" s="17" t="str">
        <f t="shared" si="25"/>
        <v/>
      </c>
      <c r="S298" s="17" t="str">
        <f>IF(COUNTIF($A$2:A298,A298)&gt;1,"Duplicate","Unique")</f>
        <v>Duplicate</v>
      </c>
      <c r="T298" s="17" t="str">
        <f t="shared" si="26"/>
        <v>No</v>
      </c>
      <c r="U298" s="17" t="str">
        <f t="shared" si="27"/>
        <v>No</v>
      </c>
      <c r="V298" s="17" t="str">
        <f t="shared" si="28"/>
        <v>No</v>
      </c>
      <c r="W298" s="17" t="str">
        <f t="shared" si="29"/>
        <v>Apr-2025</v>
      </c>
    </row>
    <row r="299" spans="1:23" x14ac:dyDescent="0.3">
      <c r="A299" s="17" t="str">
        <f>TRIM(Raw_Data!A299)</f>
        <v>REQ-2025-0115</v>
      </c>
      <c r="B299" s="22">
        <f>IF(Raw_Data!B299="","",IF(ISNUMBER(Raw_Data!B299),Raw_Data!B299,IF(ISNUMBER(SEARCH("/",Raw_Data!B299)),IFERROR(DATE(VALUE(RIGHT(Raw_Data!B299,4)),VALUE(MID(Raw_Data!B299,4,2)),VALUE(LEFT(Raw_Data!B299,2))),"Invalid Date"),IFERROR(DATEVALUE(Raw_Data!B299),"Invalid Date"))))</f>
        <v>45967</v>
      </c>
      <c r="C299" s="17" t="str">
        <f>IF(TRIM(Raw_Data!C299)="","",PROPER(TRIM(Raw_Data!C299)))</f>
        <v>Unit A - Infantry</v>
      </c>
      <c r="D299" s="17" t="str">
        <f>IF(TRIM(Raw_Data!D299)="","Not Specified",IFERROR(INDEX(Lookup_Tables!$H$6:$H$12,MATCH(TRIM(Raw_Data!D299),Lookup_Tables!$G$6:$G$12,0)),"Unknown - Review"))</f>
        <v>Northern</v>
      </c>
      <c r="E299" s="17" t="str">
        <f>IF(TRIM(Raw_Data!E299)="","Not Specified",IFERROR(INDEX(Lookup_Tables!$B$6:$B$18,MATCH(TRIM(Raw_Data!E299),Lookup_Tables!$A$6:$A$18,0)),"Unknown - Review"))</f>
        <v>Rations</v>
      </c>
      <c r="F299" s="17" t="str">
        <f>IF(TRIM(Raw_Data!F299)="","",TRIM(Raw_Data!F299))</f>
        <v>Dry Ration Pack</v>
      </c>
      <c r="G299" s="17">
        <f>IF(Raw_Data!G299="","",IF(VALUE(Raw_Data!G299)&lt;=0,"Invalid",VALUE(Raw_Data!G299)))</f>
        <v>340</v>
      </c>
      <c r="H299" s="17">
        <f>IF(Raw_Data!H299="","",IF(VALUE(Raw_Data!H299)&lt;=0,"Invalid",VALUE(Raw_Data!H299)))</f>
        <v>275</v>
      </c>
      <c r="I299" s="23">
        <f>IFERROR(VALUE(SUBSTITUTE(SUBSTITUTE(Raw_Data!I299,"₹",""),",","")),"")</f>
        <v>2584.2399999999998</v>
      </c>
      <c r="J299" s="17" t="str">
        <f>IF(TRIM(Raw_Data!J299)="","Not Specified",PROPER(TRIM(Raw_Data!J299)))</f>
        <v>Low</v>
      </c>
      <c r="K299" s="17" t="str">
        <f>IF(TRIM(Raw_Data!K299)="","Not Specified",IFERROR(INDEX(Lookup_Tables!$E$6:$E$13,MATCH(TRIM(Raw_Data!K299),Lookup_Tables!$D$6:$D$13,0)),"Unknown - Review"))</f>
        <v>Delivered</v>
      </c>
      <c r="L299" s="17" t="str">
        <f>IF(TRIM(Raw_Data!L299)="","",PROPER(TRIM(Raw_Data!L299)))</f>
        <v>Logistics Officer</v>
      </c>
      <c r="M299" s="22">
        <f>IF(Raw_Data!M299="","",IF(ISNUMBER(Raw_Data!M299),Raw_Data!M299,IF(ISNUMBER(SEARCH("/",Raw_Data!M299)),IFERROR(DATE(VALUE(RIGHT(Raw_Data!M299,4)),VALUE(MID(Raw_Data!M299,4,2)),VALUE(LEFT(Raw_Data!M299,2))),"Invalid Date"),IFERROR(DATEVALUE(Raw_Data!M299),"Invalid Date"))))</f>
        <v>45971</v>
      </c>
      <c r="N299" s="22">
        <f>IF(Raw_Data!N299="","",IF(ISNUMBER(Raw_Data!N299),Raw_Data!N299,IF(ISNUMBER(SEARCH("/",Raw_Data!N299)),IFERROR(DATE(VALUE(RIGHT(Raw_Data!N299,4)),VALUE(MID(Raw_Data!N299,4,2)),VALUE(LEFT(Raw_Data!N299,2))),"Invalid Date"),IFERROR(DATEVALUE(Raw_Data!N299),"Invalid Date"))))</f>
        <v>45990</v>
      </c>
      <c r="O299" s="22">
        <f>IF(Raw_Data!O299="","",IF(ISNUMBER(Raw_Data!O299),Raw_Data!O299,IF(ISNUMBER(SEARCH("/",Raw_Data!O299)),IFERROR(DATE(VALUE(RIGHT(Raw_Data!O299,4)),VALUE(MID(Raw_Data!O299,4,2)),VALUE(LEFT(Raw_Data!O299,2))),"Invalid Date"),IFERROR(DATEVALUE(Raw_Data!O299),"Invalid Date"))))</f>
        <v>45995</v>
      </c>
      <c r="P299" s="17" t="str">
        <f>IF(OR(TRIM(Raw_Data!P299)="",TRIM(Raw_Data!P299)="N/A",TRIM(Raw_Data!P299)="TBD",TRIM(Raw_Data!P299)="-"),"Not Assigned",PROPER(TRIM(Raw_Data!P299)))</f>
        <v>Central Ordnance Suppliers</v>
      </c>
      <c r="Q299" s="24">
        <f t="shared" si="24"/>
        <v>710665.99999999988</v>
      </c>
      <c r="R299" s="17">
        <f t="shared" si="25"/>
        <v>5</v>
      </c>
      <c r="S299" s="17" t="str">
        <f>IF(COUNTIF($A$2:A299,A299)&gt;1,"Duplicate","Unique")</f>
        <v>Duplicate</v>
      </c>
      <c r="T299" s="17" t="str">
        <f t="shared" si="26"/>
        <v>No</v>
      </c>
      <c r="U299" s="17" t="str">
        <f t="shared" si="27"/>
        <v>No</v>
      </c>
      <c r="V299" s="17" t="str">
        <f t="shared" si="28"/>
        <v>No</v>
      </c>
      <c r="W299" s="17" t="str">
        <f t="shared" si="29"/>
        <v>Nov-2025</v>
      </c>
    </row>
    <row r="300" spans="1:23" x14ac:dyDescent="0.3">
      <c r="A300" s="17" t="str">
        <f>TRIM(Raw_Data!A300)</f>
        <v>REQ-2025-0013</v>
      </c>
      <c r="B300" s="22">
        <f>IF(Raw_Data!B300="","",IF(ISNUMBER(Raw_Data!B300),Raw_Data!B300,IF(ISNUMBER(SEARCH("/",Raw_Data!B300)),IFERROR(DATE(VALUE(RIGHT(Raw_Data!B300,4)),VALUE(MID(Raw_Data!B300,4,2)),VALUE(LEFT(Raw_Data!B300,2))),"Invalid Date"),IFERROR(DATEVALUE(Raw_Data!B300),"Invalid Date"))))</f>
        <v>45977</v>
      </c>
      <c r="C300" s="17" t="str">
        <f>IF(TRIM(Raw_Data!C300)="","",PROPER(TRIM(Raw_Data!C300)))</f>
        <v>Unit D - Signals</v>
      </c>
      <c r="D300" s="17" t="str">
        <f>IF(TRIM(Raw_Data!D300)="","Not Specified",IFERROR(INDEX(Lookup_Tables!$H$6:$H$12,MATCH(TRIM(Raw_Data!D300),Lookup_Tables!$G$6:$G$12,0)),"Unknown - Review"))</f>
        <v>Western</v>
      </c>
      <c r="E300" s="17" t="str">
        <f>IF(TRIM(Raw_Data!E300)="","Not Specified",IFERROR(INDEX(Lookup_Tables!$B$6:$B$18,MATCH(TRIM(Raw_Data!E300),Lookup_Tables!$A$6:$A$18,0)),"Unknown - Review"))</f>
        <v>Vehicle Spares</v>
      </c>
      <c r="F300" s="17" t="str">
        <f>IF(TRIM(Raw_Data!F300)="","",TRIM(Raw_Data!F300))</f>
        <v>Engine Oil Filter</v>
      </c>
      <c r="G300" s="17">
        <f>IF(Raw_Data!G300="","",IF(VALUE(Raw_Data!G300)&lt;=0,"Invalid",VALUE(Raw_Data!G300)))</f>
        <v>264</v>
      </c>
      <c r="H300" s="17">
        <f>IF(Raw_Data!H300="","",IF(VALUE(Raw_Data!H300)&lt;=0,"Invalid",VALUE(Raw_Data!H300)))</f>
        <v>216</v>
      </c>
      <c r="I300" s="23">
        <f>IFERROR(VALUE(SUBSTITUTE(SUBSTITUTE(Raw_Data!I300,"₹",""),",","")),"")</f>
        <v>13410.14</v>
      </c>
      <c r="J300" s="17" t="str">
        <f>IF(TRIM(Raw_Data!J300)="","Not Specified",PROPER(TRIM(Raw_Data!J300)))</f>
        <v>High</v>
      </c>
      <c r="K300" s="17" t="str">
        <f>IF(TRIM(Raw_Data!K300)="","Not Specified",IFERROR(INDEX(Lookup_Tables!$E$6:$E$13,MATCH(TRIM(Raw_Data!K300),Lookup_Tables!$D$6:$D$13,0)),"Unknown - Review"))</f>
        <v>Approved</v>
      </c>
      <c r="L300" s="17" t="str">
        <f>IF(TRIM(Raw_Data!L300)="","",PROPER(TRIM(Raw_Data!L300)))</f>
        <v>Stores Officer</v>
      </c>
      <c r="M300" s="22">
        <f>IF(Raw_Data!M300="","",IF(ISNUMBER(Raw_Data!M300),Raw_Data!M300,IF(ISNUMBER(SEARCH("/",Raw_Data!M300)),IFERROR(DATE(VALUE(RIGHT(Raw_Data!M300,4)),VALUE(MID(Raw_Data!M300,4,2)),VALUE(LEFT(Raw_Data!M300,2))),"Invalid Date"),IFERROR(DATEVALUE(Raw_Data!M300),"Invalid Date"))))</f>
        <v>45980</v>
      </c>
      <c r="N300" s="22">
        <f>IF(Raw_Data!N300="","",IF(ISNUMBER(Raw_Data!N300),Raw_Data!N300,IF(ISNUMBER(SEARCH("/",Raw_Data!N300)),IFERROR(DATE(VALUE(RIGHT(Raw_Data!N300,4)),VALUE(MID(Raw_Data!N300,4,2)),VALUE(LEFT(Raw_Data!N300,2))),"Invalid Date"),IFERROR(DATEVALUE(Raw_Data!N300),"Invalid Date"))))</f>
        <v>45991</v>
      </c>
      <c r="O300" s="22" t="str">
        <f>IF(Raw_Data!O300="","",IF(ISNUMBER(Raw_Data!O300),Raw_Data!O300,IF(ISNUMBER(SEARCH("/",Raw_Data!O300)),IFERROR(DATE(VALUE(RIGHT(Raw_Data!O300,4)),VALUE(MID(Raw_Data!O300,4,2)),VALUE(LEFT(Raw_Data!O300,2))),"Invalid Date"),IFERROR(DATEVALUE(Raw_Data!O300),"Invalid Date"))))</f>
        <v/>
      </c>
      <c r="P300" s="17" t="str">
        <f>IF(OR(TRIM(Raw_Data!P300)="",TRIM(Raw_Data!P300)="N/A",TRIM(Raw_Data!P300)="TBD",TRIM(Raw_Data!P300)="-"),"Not Assigned",PROPER(TRIM(Raw_Data!P300)))</f>
        <v>Rapid Vendors Ltd</v>
      </c>
      <c r="Q300" s="24">
        <f t="shared" si="24"/>
        <v>2896590.2399999998</v>
      </c>
      <c r="R300" s="17" t="str">
        <f t="shared" si="25"/>
        <v/>
      </c>
      <c r="S300" s="17" t="str">
        <f>IF(COUNTIF($A$2:A300,A300)&gt;1,"Duplicate","Unique")</f>
        <v>Duplicate</v>
      </c>
      <c r="T300" s="17" t="str">
        <f t="shared" si="26"/>
        <v>No</v>
      </c>
      <c r="U300" s="17" t="str">
        <f t="shared" si="27"/>
        <v>No</v>
      </c>
      <c r="V300" s="17" t="str">
        <f t="shared" si="28"/>
        <v>No</v>
      </c>
      <c r="W300" s="17" t="str">
        <f t="shared" si="29"/>
        <v>Nov-2025</v>
      </c>
    </row>
    <row r="301" spans="1:23" x14ac:dyDescent="0.3">
      <c r="A301" s="17" t="str">
        <f>TRIM(Raw_Data!A301)</f>
        <v>REQ-2025-0117</v>
      </c>
      <c r="B301" s="22">
        <f>IF(Raw_Data!B301="","",IF(ISNUMBER(Raw_Data!B301),Raw_Data!B301,IF(ISNUMBER(SEARCH("/",Raw_Data!B301)),IFERROR(DATE(VALUE(RIGHT(Raw_Data!B301,4)),VALUE(MID(Raw_Data!B301,4,2)),VALUE(LEFT(Raw_Data!B301,2))),"Invalid Date"),IFERROR(DATEVALUE(Raw_Data!B301),"Invalid Date"))))</f>
        <v>45861</v>
      </c>
      <c r="C301" s="17" t="str">
        <f>IF(TRIM(Raw_Data!C301)="","",PROPER(TRIM(Raw_Data!C301)))</f>
        <v>Unit G - Transport Corps</v>
      </c>
      <c r="D301" s="17" t="str">
        <f>IF(TRIM(Raw_Data!D301)="","Not Specified",IFERROR(INDEX(Lookup_Tables!$H$6:$H$12,MATCH(TRIM(Raw_Data!D301),Lookup_Tables!$G$6:$G$12,0)),"Unknown - Review"))</f>
        <v>Southern</v>
      </c>
      <c r="E301" s="17" t="str">
        <f>IF(TRIM(Raw_Data!E301)="","Not Specified",IFERROR(INDEX(Lookup_Tables!$B$6:$B$18,MATCH(TRIM(Raw_Data!E301),Lookup_Tables!$A$6:$A$18,0)),"Unknown - Review"))</f>
        <v>Medical Supplies</v>
      </c>
      <c r="F301" s="17" t="str">
        <f>IF(TRIM(Raw_Data!F301)="","",TRIM(Raw_Data!F301))</f>
        <v>Bandage Roll (Pack)</v>
      </c>
      <c r="G301" s="17">
        <f>IF(Raw_Data!G301="","",IF(VALUE(Raw_Data!G301)&lt;=0,"Invalid",VALUE(Raw_Data!G301)))</f>
        <v>417</v>
      </c>
      <c r="H301" s="17">
        <f>IF(Raw_Data!H301="","",IF(VALUE(Raw_Data!H301)&lt;=0,"Invalid",VALUE(Raw_Data!H301)))</f>
        <v>379</v>
      </c>
      <c r="I301" s="23">
        <f>IFERROR(VALUE(SUBSTITUTE(SUBSTITUTE(Raw_Data!I301,"₹",""),",","")),"")</f>
        <v>33717</v>
      </c>
      <c r="J301" s="17" t="str">
        <f>IF(TRIM(Raw_Data!J301)="","Not Specified",PROPER(TRIM(Raw_Data!J301)))</f>
        <v>Low</v>
      </c>
      <c r="K301" s="17" t="str">
        <f>IF(TRIM(Raw_Data!K301)="","Not Specified",IFERROR(INDEX(Lookup_Tables!$E$6:$E$13,MATCH(TRIM(Raw_Data!K301),Lookup_Tables!$D$6:$D$13,0)),"Unknown - Review"))</f>
        <v>Delivered</v>
      </c>
      <c r="L301" s="17" t="str">
        <f>IF(TRIM(Raw_Data!L301)="","",PROPER(TRIM(Raw_Data!L301)))</f>
        <v>Unit Commander</v>
      </c>
      <c r="M301" s="22">
        <f>IF(Raw_Data!M301="","",IF(ISNUMBER(Raw_Data!M301),Raw_Data!M301,IF(ISNUMBER(SEARCH("/",Raw_Data!M301)),IFERROR(DATE(VALUE(RIGHT(Raw_Data!M301,4)),VALUE(MID(Raw_Data!M301,4,2)),VALUE(LEFT(Raw_Data!M301,2))),"Invalid Date"),IFERROR(DATEVALUE(Raw_Data!M301),"Invalid Date"))))</f>
        <v>45866</v>
      </c>
      <c r="N301" s="22" t="str">
        <f>IF(Raw_Data!N301="","",IF(ISNUMBER(Raw_Data!N301),Raw_Data!N301,IF(ISNUMBER(SEARCH("/",Raw_Data!N301)),IFERROR(DATE(VALUE(RIGHT(Raw_Data!N301,4)),VALUE(MID(Raw_Data!N301,4,2)),VALUE(LEFT(Raw_Data!N301,2))),"Invalid Date"),IFERROR(DATEVALUE(Raw_Data!N301),"Invalid Date"))))</f>
        <v/>
      </c>
      <c r="O301" s="22">
        <f>IF(Raw_Data!O301="","",IF(ISNUMBER(Raw_Data!O301),Raw_Data!O301,IF(ISNUMBER(SEARCH("/",Raw_Data!O301)),IFERROR(DATE(VALUE(RIGHT(Raw_Data!O301,4)),VALUE(MID(Raw_Data!O301,4,2)),VALUE(LEFT(Raw_Data!O301,2))),"Invalid Date"),IFERROR(DATEVALUE(Raw_Data!O301),"Invalid Date"))))</f>
        <v>45905</v>
      </c>
      <c r="P301" s="17" t="str">
        <f>IF(OR(TRIM(Raw_Data!P301)="",TRIM(Raw_Data!P301)="N/A",TRIM(Raw_Data!P301)="TBD",TRIM(Raw_Data!P301)="-"),"Not Assigned",PROPER(TRIM(Raw_Data!P301)))</f>
        <v>Om Suppliers</v>
      </c>
      <c r="Q301" s="24">
        <f t="shared" si="24"/>
        <v>12778743</v>
      </c>
      <c r="R301" s="17" t="str">
        <f t="shared" si="25"/>
        <v/>
      </c>
      <c r="S301" s="17" t="str">
        <f>IF(COUNTIF($A$2:A301,A301)&gt;1,"Duplicate","Unique")</f>
        <v>Duplicate</v>
      </c>
      <c r="T301" s="17" t="str">
        <f t="shared" si="26"/>
        <v>No</v>
      </c>
      <c r="U301" s="17" t="str">
        <f t="shared" si="27"/>
        <v>No</v>
      </c>
      <c r="V301" s="17" t="str">
        <f t="shared" si="28"/>
        <v>No</v>
      </c>
      <c r="W301" s="17" t="str">
        <f t="shared" si="29"/>
        <v>Jul-2025</v>
      </c>
    </row>
  </sheetData>
  <autoFilter ref="A1:W301" xr:uid="{00000000-0009-0000-0000-000003000000}"/>
  <conditionalFormatting sqref="S2:S301">
    <cfRule type="cellIs" dxfId="3" priority="2" operator="equal">
      <formula>"Duplicate"</formula>
    </cfRule>
  </conditionalFormatting>
  <conditionalFormatting sqref="T2:U301">
    <cfRule type="cellIs" dxfId="2" priority="3" operator="equal">
      <formula>"Yes"</formula>
    </cfRule>
  </conditionalFormatting>
  <conditionalFormatting sqref="V2:V301">
    <cfRule type="cellIs" dxfId="1" priority="5" operator="equal">
      <formula>"No"</formula>
    </cfRule>
    <cfRule type="cellIs" dxfId="0" priority="6" operator="equal">
      <formula>"Yes"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  <pageSetUpPr fitToPage="1"/>
  </sheetPr>
  <dimension ref="B2:H1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5" customWidth="1"/>
    <col min="3" max="3" width="32" customWidth="1"/>
    <col min="4" max="4" width="38" customWidth="1"/>
    <col min="5" max="5" width="30" customWidth="1"/>
    <col min="6" max="6" width="16" customWidth="1"/>
  </cols>
  <sheetData>
    <row r="2" spans="2:8" ht="21" x14ac:dyDescent="0.4">
      <c r="B2" s="25" t="s">
        <v>1086</v>
      </c>
    </row>
    <row r="3" spans="2:8" x14ac:dyDescent="0.3">
      <c r="B3" s="7" t="s">
        <v>1087</v>
      </c>
      <c r="C3" s="7"/>
      <c r="D3" s="7"/>
      <c r="E3" s="7"/>
      <c r="F3" s="7"/>
      <c r="G3" s="7"/>
      <c r="H3" s="7"/>
    </row>
    <row r="5" spans="2:8" x14ac:dyDescent="0.3">
      <c r="B5" s="16" t="s">
        <v>1088</v>
      </c>
      <c r="C5" s="16" t="s">
        <v>1089</v>
      </c>
      <c r="D5" s="16" t="s">
        <v>1090</v>
      </c>
      <c r="E5" s="16" t="s">
        <v>1091</v>
      </c>
      <c r="F5" s="16" t="s">
        <v>1092</v>
      </c>
    </row>
    <row r="6" spans="2:8" ht="45" customHeight="1" x14ac:dyDescent="0.3">
      <c r="B6" s="21">
        <v>1</v>
      </c>
      <c r="C6" s="26" t="s">
        <v>1093</v>
      </c>
      <c r="D6" s="26" t="s">
        <v>1094</v>
      </c>
      <c r="E6" s="26" t="s">
        <v>1095</v>
      </c>
      <c r="F6" s="27">
        <f>SUMPRODUCT(--(EXACT(TRIM(Raw_Data!C2:C301),Raw_Data!C2:C301)=FALSE()))</f>
        <v>55</v>
      </c>
    </row>
    <row r="7" spans="2:8" ht="45" customHeight="1" x14ac:dyDescent="0.3">
      <c r="B7" s="21">
        <v>2</v>
      </c>
      <c r="C7" s="26" t="s">
        <v>1096</v>
      </c>
      <c r="D7" s="26" t="s">
        <v>1097</v>
      </c>
      <c r="E7" s="26" t="s">
        <v>1098</v>
      </c>
      <c r="F7" s="27">
        <f>COUNTIF(Cleaned_Data!E2:E301,"Unknown - Review")+COUNTIF(Cleaned_Data!K2:K301,"Unknown - Review")+COUNTIF(Cleaned_Data!D2:D301,"Unknown - Review")</f>
        <v>0</v>
      </c>
    </row>
    <row r="8" spans="2:8" ht="45" customHeight="1" x14ac:dyDescent="0.3">
      <c r="B8" s="21">
        <v>3</v>
      </c>
      <c r="C8" s="26" t="s">
        <v>1099</v>
      </c>
      <c r="D8" s="26" t="s">
        <v>1100</v>
      </c>
      <c r="E8" s="26" t="s">
        <v>1101</v>
      </c>
      <c r="F8" s="27">
        <f>COUNTIF(Cleaned_Data!B2:B301,"Invalid Date")</f>
        <v>0</v>
      </c>
    </row>
    <row r="9" spans="2:8" ht="45" customHeight="1" x14ac:dyDescent="0.3">
      <c r="B9" s="21">
        <v>4</v>
      </c>
      <c r="C9" s="26" t="s">
        <v>1102</v>
      </c>
      <c r="D9" s="26" t="s">
        <v>1103</v>
      </c>
      <c r="E9" s="26" t="s">
        <v>1104</v>
      </c>
      <c r="F9" s="27">
        <f>SUMPRODUCT(--(ISNUMBER(Cleaned_Data!I2:I301)))</f>
        <v>273</v>
      </c>
    </row>
    <row r="10" spans="2:8" ht="45" customHeight="1" x14ac:dyDescent="0.3">
      <c r="B10" s="21">
        <v>5</v>
      </c>
      <c r="C10" s="26" t="s">
        <v>1105</v>
      </c>
      <c r="D10" s="26" t="s">
        <v>1106</v>
      </c>
      <c r="E10" s="26" t="s">
        <v>1107</v>
      </c>
      <c r="F10" s="27">
        <f>COUNTIF(Cleaned_Data!T2:T301,"Yes")</f>
        <v>18</v>
      </c>
    </row>
    <row r="11" spans="2:8" ht="45" customHeight="1" x14ac:dyDescent="0.3">
      <c r="B11" s="21">
        <v>6</v>
      </c>
      <c r="C11" s="26" t="s">
        <v>1108</v>
      </c>
      <c r="D11" s="26" t="s">
        <v>1109</v>
      </c>
      <c r="E11" s="26" t="s">
        <v>1110</v>
      </c>
      <c r="F11" s="27">
        <f>COUNTIF(Cleaned_Data!G2:G301,"Invalid")+COUNTIF(Cleaned_Data!H2:H301,"Invalid")</f>
        <v>18</v>
      </c>
    </row>
    <row r="12" spans="2:8" ht="45" customHeight="1" x14ac:dyDescent="0.3">
      <c r="B12" s="21">
        <v>7</v>
      </c>
      <c r="C12" s="26" t="s">
        <v>1111</v>
      </c>
      <c r="D12" s="26" t="s">
        <v>1112</v>
      </c>
      <c r="E12" s="26" t="s">
        <v>1113</v>
      </c>
      <c r="F12" s="27">
        <f>COUNTIF(Cleaned_Data!U2:U301,"Yes")</f>
        <v>12</v>
      </c>
    </row>
    <row r="13" spans="2:8" ht="45" customHeight="1" x14ac:dyDescent="0.3">
      <c r="B13" s="21">
        <v>8</v>
      </c>
      <c r="C13" s="26" t="s">
        <v>1114</v>
      </c>
      <c r="D13" s="26" t="s">
        <v>1115</v>
      </c>
      <c r="E13" s="26" t="s">
        <v>1116</v>
      </c>
      <c r="F13" s="27">
        <f>COUNTIF(Cleaned_Data!S2:S301,"Duplicate")</f>
        <v>15</v>
      </c>
    </row>
    <row r="14" spans="2:8" ht="45" customHeight="1" x14ac:dyDescent="0.3">
      <c r="B14" s="21">
        <v>9</v>
      </c>
      <c r="C14" s="26" t="s">
        <v>1117</v>
      </c>
      <c r="D14" s="26" t="s">
        <v>1118</v>
      </c>
      <c r="E14" s="26" t="s">
        <v>1119</v>
      </c>
      <c r="F14" s="27">
        <f>COUNTIF(Cleaned_Data!P2:P301,"Not Assigned")</f>
        <v>46</v>
      </c>
    </row>
    <row r="16" spans="2:8" ht="15.6" x14ac:dyDescent="0.3">
      <c r="B16" s="28" t="s">
        <v>1120</v>
      </c>
    </row>
    <row r="17" spans="2:3" x14ac:dyDescent="0.3">
      <c r="B17" s="29" t="s">
        <v>1121</v>
      </c>
      <c r="C17" s="17">
        <f>COUNTA(Cleaned_Data!A2:A301)</f>
        <v>300</v>
      </c>
    </row>
    <row r="18" spans="2:3" x14ac:dyDescent="0.3">
      <c r="B18" s="29" t="s">
        <v>1122</v>
      </c>
      <c r="C18" s="17">
        <f>COUNTIF(Cleaned_Data!V2:V301,"Yes")</f>
        <v>238</v>
      </c>
    </row>
    <row r="19" spans="2:3" x14ac:dyDescent="0.3">
      <c r="B19" s="29" t="s">
        <v>1123</v>
      </c>
      <c r="C19" s="30">
        <f>C18/C17</f>
        <v>0.79333333333333333</v>
      </c>
    </row>
  </sheetData>
  <mergeCells count="1">
    <mergeCell ref="B3:H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  <pageSetUpPr fitToPage="1"/>
  </sheetPr>
  <dimension ref="B2:P3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4" customWidth="1"/>
    <col min="3" max="3" width="13" customWidth="1"/>
    <col min="4" max="4" width="18" customWidth="1"/>
    <col min="5" max="5" width="11" customWidth="1"/>
    <col min="6" max="7" width="20" customWidth="1"/>
    <col min="8" max="8" width="12" customWidth="1"/>
    <col min="9" max="9" width="10" customWidth="1"/>
    <col min="10" max="10" width="11" customWidth="1"/>
    <col min="11" max="11" width="16" customWidth="1"/>
    <col min="12" max="12" width="22" customWidth="1"/>
    <col min="13" max="13" width="12" customWidth="1"/>
  </cols>
  <sheetData>
    <row r="2" spans="2:16" ht="21" x14ac:dyDescent="0.4">
      <c r="B2" s="25" t="s">
        <v>1124</v>
      </c>
    </row>
    <row r="3" spans="2:16" ht="25.5" customHeight="1" x14ac:dyDescent="0.3">
      <c r="B3" s="9" t="s">
        <v>1125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5" spans="2:16" ht="30" customHeight="1" x14ac:dyDescent="0.3">
      <c r="B5" s="16" t="s">
        <v>39</v>
      </c>
      <c r="C5" s="16" t="s">
        <v>40</v>
      </c>
      <c r="D5" s="16" t="s">
        <v>41</v>
      </c>
      <c r="E5" s="16" t="s">
        <v>42</v>
      </c>
      <c r="F5" s="16" t="s">
        <v>43</v>
      </c>
      <c r="G5" s="16" t="s">
        <v>44</v>
      </c>
      <c r="H5" s="16" t="s">
        <v>45</v>
      </c>
      <c r="I5" s="16" t="s">
        <v>48</v>
      </c>
      <c r="J5" s="16" t="s">
        <v>49</v>
      </c>
      <c r="K5" s="16" t="s">
        <v>50</v>
      </c>
      <c r="L5" s="16" t="s">
        <v>1078</v>
      </c>
      <c r="M5" s="16" t="s">
        <v>47</v>
      </c>
    </row>
    <row r="6" spans="2:16" x14ac:dyDescent="0.3">
      <c r="B6" s="31" t="s">
        <v>1126</v>
      </c>
      <c r="C6" s="32">
        <v>46037</v>
      </c>
      <c r="D6" s="31" t="s">
        <v>117</v>
      </c>
      <c r="E6" s="31" t="s">
        <v>118</v>
      </c>
      <c r="F6" s="31" t="s">
        <v>149</v>
      </c>
      <c r="G6" s="31" t="s">
        <v>370</v>
      </c>
      <c r="H6" s="31">
        <v>120</v>
      </c>
      <c r="I6" s="31" t="s">
        <v>80</v>
      </c>
      <c r="J6" s="31" t="s">
        <v>408</v>
      </c>
      <c r="K6" s="31" t="s">
        <v>63</v>
      </c>
      <c r="L6" s="31" t="s">
        <v>433</v>
      </c>
      <c r="M6" s="31">
        <v>850</v>
      </c>
      <c r="N6" s="33" t="s">
        <v>1127</v>
      </c>
    </row>
    <row r="7" spans="2:16" x14ac:dyDescent="0.3">
      <c r="B7" s="21"/>
      <c r="C7" s="34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2:16" x14ac:dyDescent="0.3">
      <c r="B8" s="21"/>
      <c r="C8" s="34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2:16" x14ac:dyDescent="0.3">
      <c r="B9" s="21"/>
      <c r="C9" s="34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2:16" x14ac:dyDescent="0.3">
      <c r="B10" s="21"/>
      <c r="C10" s="34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2:16" x14ac:dyDescent="0.3">
      <c r="B11" s="21"/>
      <c r="C11" s="34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2:16" x14ac:dyDescent="0.3">
      <c r="B12" s="21"/>
      <c r="C12" s="34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2:16" x14ac:dyDescent="0.3">
      <c r="B13" s="21"/>
      <c r="C13" s="34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2:16" x14ac:dyDescent="0.3">
      <c r="B14" s="21"/>
      <c r="C14" s="34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2:16" x14ac:dyDescent="0.3">
      <c r="B15" s="21"/>
      <c r="C15" s="34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2:16" x14ac:dyDescent="0.3">
      <c r="B16" s="21"/>
      <c r="C16" s="34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2:13" x14ac:dyDescent="0.3">
      <c r="B17" s="21"/>
      <c r="C17" s="34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2:13" x14ac:dyDescent="0.3">
      <c r="B18" s="21"/>
      <c r="C18" s="34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2:13" x14ac:dyDescent="0.3">
      <c r="B19" s="21"/>
      <c r="C19" s="34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2:13" x14ac:dyDescent="0.3">
      <c r="B20" s="21"/>
      <c r="C20" s="34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2:13" x14ac:dyDescent="0.3">
      <c r="B21" s="21"/>
      <c r="C21" s="34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2:13" x14ac:dyDescent="0.3">
      <c r="B22" s="21"/>
      <c r="C22" s="34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2:13" x14ac:dyDescent="0.3">
      <c r="B23" s="21"/>
      <c r="C23" s="34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x14ac:dyDescent="0.3">
      <c r="B24" s="21"/>
      <c r="C24" s="34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2:13" x14ac:dyDescent="0.3">
      <c r="B25" s="21"/>
      <c r="C25" s="34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2:13" x14ac:dyDescent="0.3">
      <c r="B26" s="21"/>
      <c r="C26" s="34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2:13" x14ac:dyDescent="0.3">
      <c r="B27" s="21"/>
      <c r="C27" s="34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2:13" x14ac:dyDescent="0.3">
      <c r="B28" s="21"/>
      <c r="C28" s="34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2:13" x14ac:dyDescent="0.3">
      <c r="B29" s="21"/>
      <c r="C29" s="34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2:13" x14ac:dyDescent="0.3">
      <c r="B30" s="21"/>
      <c r="C30" s="34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3" spans="2:14" x14ac:dyDescent="0.3">
      <c r="B33" s="29" t="s">
        <v>1128</v>
      </c>
    </row>
    <row r="34" spans="2:14" x14ac:dyDescent="0.3">
      <c r="B34" s="6" t="s">
        <v>1129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3">
      <c r="B35" s="6" t="s">
        <v>1130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2:14" x14ac:dyDescent="0.3">
      <c r="B36" s="6" t="s">
        <v>1131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x14ac:dyDescent="0.3">
      <c r="B37" s="6" t="s">
        <v>1132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</sheetData>
  <mergeCells count="5">
    <mergeCell ref="B3:P3"/>
    <mergeCell ref="B34:N34"/>
    <mergeCell ref="B35:N35"/>
    <mergeCell ref="B36:N36"/>
    <mergeCell ref="B37:N37"/>
  </mergeCells>
  <dataValidations count="9">
    <dataValidation type="list" allowBlank="1" showErrorMessage="1" errorTitle="Invalid Unit" error="Pick a unit from the dropdown list." sqref="D7:D30" xr:uid="{00000000-0002-0000-0500-000000000000}">
      <formula1>"Unit A - Infantry,Unit B - Artillery,Unit C - Engineers,Unit D - Signals,Unit E - Medical Corps,Unit F - Ordnance Depot,Unit G - Transport Corps,Unit H - Air Defence"</formula1>
      <formula2>0</formula2>
    </dataValidation>
    <dataValidation type="list" allowBlank="1" showErrorMessage="1" errorTitle="Invalid Region" error="Pick a region from the dropdown list." sqref="E7:E30" xr:uid="{00000000-0002-0000-0500-000001000000}">
      <formula1>"Northern,Southern,Eastern,Western,Central"</formula1>
      <formula2>0</formula2>
    </dataValidation>
    <dataValidation type="list" allowBlank="1" showErrorMessage="1" errorTitle="Invalid Category" error="Pick a category from the dropdown list." sqref="F7:F30" xr:uid="{00000000-0002-0000-0500-000002000000}">
      <formula1>"Rations,Vehicle Spares,Uniforms &amp; Clothing,Medical Supplies,Communication Equipment,Fuel &amp; Lubricants,Construction Material,Office &amp; IT Equipment,Tents &amp; Shelter"</formula1>
      <formula2>0</formula2>
    </dataValidation>
    <dataValidation type="list" allowBlank="1" showErrorMessage="1" errorTitle="Invalid Priority" error="Pick a priority from the dropdown list." sqref="I7:I30" xr:uid="{00000000-0002-0000-0500-000003000000}">
      <formula1>"High,Medium,Low,Routine"</formula1>
      <formula2>0</formula2>
    </dataValidation>
    <dataValidation type="list" allowBlank="1" showErrorMessage="1" errorTitle="Invalid Status" error="Pick a status from the dropdown list." sqref="J7:J30" xr:uid="{00000000-0002-0000-0500-000004000000}">
      <formula1>"Pending,Approved,Rejected,Dispatched,Delivered"</formula1>
      <formula2>0</formula2>
    </dataValidation>
    <dataValidation type="list" allowBlank="1" showErrorMessage="1" errorTitle="Invalid Role" error="Pick a role from the dropdown list." sqref="K7:K30" xr:uid="{00000000-0002-0000-0500-000005000000}">
      <formula1>"Quartermaster,Logistics Officer,Stores Officer,Unit Commander"</formula1>
      <formula2>0</formula2>
    </dataValidation>
    <dataValidation type="whole" operator="greaterThan" allowBlank="1" showErrorMessage="1" errorTitle="Invalid Quantity" error="Quantity must be a whole number greater than 0." sqref="H7:H30" xr:uid="{00000000-0002-0000-0500-000006000000}">
      <formula1>0</formula1>
      <formula2>0</formula2>
    </dataValidation>
    <dataValidation type="decimal" operator="greaterThan" allowBlank="1" showErrorMessage="1" errorTitle="Invalid Cost" error="Unit cost must be a positive number (no currency symbol, no commas)." sqref="M7:M30" xr:uid="{00000000-0002-0000-0500-000007000000}">
      <formula1>0</formula1>
      <formula2>0</formula2>
    </dataValidation>
    <dataValidation type="date" operator="greaterThanOrEqual" allowBlank="1" showErrorMessage="1" errorTitle="Invalid Date" error="Enter a valid date (DD/MM/YYYY)." sqref="C7:C30" xr:uid="{00000000-0002-0000-0500-000008000000}">
      <formula1>2020-1-1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5F"/>
    <pageSetUpPr fitToPage="1"/>
  </sheetPr>
  <dimension ref="B2:I1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4" customWidth="1"/>
    <col min="3" max="5" width="10" customWidth="1"/>
    <col min="6" max="7" width="11" customWidth="1"/>
    <col min="8" max="8" width="16" customWidth="1"/>
    <col min="9" max="9" width="15" customWidth="1"/>
  </cols>
  <sheetData>
    <row r="2" spans="2:9" ht="17.399999999999999" x14ac:dyDescent="0.3">
      <c r="B2" s="35" t="s">
        <v>1133</v>
      </c>
    </row>
    <row r="3" spans="2:9" x14ac:dyDescent="0.3">
      <c r="B3" s="7" t="s">
        <v>1134</v>
      </c>
      <c r="C3" s="7"/>
      <c r="D3" s="7"/>
      <c r="E3" s="7"/>
      <c r="F3" s="7"/>
      <c r="G3" s="7"/>
      <c r="H3" s="7"/>
      <c r="I3" s="7"/>
    </row>
    <row r="5" spans="2:9" ht="26.4" x14ac:dyDescent="0.3">
      <c r="B5" s="16" t="s">
        <v>41</v>
      </c>
      <c r="C5" s="16" t="s">
        <v>408</v>
      </c>
      <c r="D5" s="16" t="s">
        <v>251</v>
      </c>
      <c r="E5" s="16" t="s">
        <v>92</v>
      </c>
      <c r="F5" s="16" t="s">
        <v>129</v>
      </c>
      <c r="G5" s="16" t="s">
        <v>261</v>
      </c>
      <c r="H5" s="16" t="s">
        <v>1135</v>
      </c>
      <c r="I5" s="16" t="s">
        <v>1136</v>
      </c>
    </row>
    <row r="6" spans="2:9" x14ac:dyDescent="0.3">
      <c r="B6" s="21" t="s">
        <v>117</v>
      </c>
      <c r="C6" s="36">
        <f>COUNTIFS(Cleaned_Data!$C$2:$C$301,$B6,Cleaned_Data!$K$2:$K$301,C$5,Cleaned_Data!$V$2:$V$301,"Yes")</f>
        <v>4</v>
      </c>
      <c r="D6" s="36">
        <f>COUNTIFS(Cleaned_Data!$C$2:$C$301,$B6,Cleaned_Data!$K$2:$K$301,D$5,Cleaned_Data!$V$2:$V$301,"Yes")</f>
        <v>5</v>
      </c>
      <c r="E6" s="36">
        <f>COUNTIFS(Cleaned_Data!$C$2:$C$301,$B6,Cleaned_Data!$K$2:$K$301,E$5,Cleaned_Data!$V$2:$V$301,"Yes")</f>
        <v>2</v>
      </c>
      <c r="F6" s="36">
        <f>COUNTIFS(Cleaned_Data!$C$2:$C$301,$B6,Cleaned_Data!$K$2:$K$301,F$5,Cleaned_Data!$V$2:$V$301,"Yes")</f>
        <v>4</v>
      </c>
      <c r="G6" s="36">
        <f>COUNTIFS(Cleaned_Data!$C$2:$C$301,$B6,Cleaned_Data!$K$2:$K$301,G$5,Cleaned_Data!$V$2:$V$301,"Yes")</f>
        <v>14</v>
      </c>
      <c r="H6" s="27">
        <f t="shared" ref="H6:H13" si="0">SUM(C6:G6)</f>
        <v>29</v>
      </c>
      <c r="I6" s="37">
        <f>SUMIFS(Cleaned_Data!$Q$2:$Q$301,Cleaned_Data!$C$2:$C$301,$B6,Cleaned_Data!$V$2:$V$301,"Yes")</f>
        <v>102614824.49000001</v>
      </c>
    </row>
    <row r="7" spans="2:9" x14ac:dyDescent="0.3">
      <c r="B7" s="21" t="s">
        <v>57</v>
      </c>
      <c r="C7" s="36">
        <f>COUNTIFS(Cleaned_Data!$C$2:$C$301,$B7,Cleaned_Data!$K$2:$K$301,C$5,Cleaned_Data!$V$2:$V$301,"Yes")</f>
        <v>4</v>
      </c>
      <c r="D7" s="36">
        <f>COUNTIFS(Cleaned_Data!$C$2:$C$301,$B7,Cleaned_Data!$K$2:$K$301,D$5,Cleaned_Data!$V$2:$V$301,"Yes")</f>
        <v>4</v>
      </c>
      <c r="E7" s="36">
        <f>COUNTIFS(Cleaned_Data!$C$2:$C$301,$B7,Cleaned_Data!$K$2:$K$301,E$5,Cleaned_Data!$V$2:$V$301,"Yes")</f>
        <v>3</v>
      </c>
      <c r="F7" s="36">
        <f>COUNTIFS(Cleaned_Data!$C$2:$C$301,$B7,Cleaned_Data!$K$2:$K$301,F$5,Cleaned_Data!$V$2:$V$301,"Yes")</f>
        <v>6</v>
      </c>
      <c r="G7" s="36">
        <f>COUNTIFS(Cleaned_Data!$C$2:$C$301,$B7,Cleaned_Data!$K$2:$K$301,G$5,Cleaned_Data!$V$2:$V$301,"Yes")</f>
        <v>11</v>
      </c>
      <c r="H7" s="27">
        <f t="shared" si="0"/>
        <v>28</v>
      </c>
      <c r="I7" s="37">
        <f>SUMIFS(Cleaned_Data!$Q$2:$Q$301,Cleaned_Data!$C$2:$C$301,$B7,Cleaned_Data!$V$2:$V$301,"Yes")</f>
        <v>126849774.42</v>
      </c>
    </row>
    <row r="8" spans="2:9" x14ac:dyDescent="0.3">
      <c r="B8" s="21" t="s">
        <v>133</v>
      </c>
      <c r="C8" s="36">
        <f>COUNTIFS(Cleaned_Data!$C$2:$C$301,$B8,Cleaned_Data!$K$2:$K$301,C$5,Cleaned_Data!$V$2:$V$301,"Yes")</f>
        <v>4</v>
      </c>
      <c r="D8" s="36">
        <f>COUNTIFS(Cleaned_Data!$C$2:$C$301,$B8,Cleaned_Data!$K$2:$K$301,D$5,Cleaned_Data!$V$2:$V$301,"Yes")</f>
        <v>7</v>
      </c>
      <c r="E8" s="36">
        <f>COUNTIFS(Cleaned_Data!$C$2:$C$301,$B8,Cleaned_Data!$K$2:$K$301,E$5,Cleaned_Data!$V$2:$V$301,"Yes")</f>
        <v>3</v>
      </c>
      <c r="F8" s="36">
        <f>COUNTIFS(Cleaned_Data!$C$2:$C$301,$B8,Cleaned_Data!$K$2:$K$301,F$5,Cleaned_Data!$V$2:$V$301,"Yes")</f>
        <v>9</v>
      </c>
      <c r="G8" s="36">
        <f>COUNTIFS(Cleaned_Data!$C$2:$C$301,$B8,Cleaned_Data!$K$2:$K$301,G$5,Cleaned_Data!$V$2:$V$301,"Yes")</f>
        <v>8</v>
      </c>
      <c r="H8" s="27">
        <f t="shared" si="0"/>
        <v>31</v>
      </c>
      <c r="I8" s="37">
        <f>SUMIFS(Cleaned_Data!$Q$2:$Q$301,Cleaned_Data!$C$2:$C$301,$B8,Cleaned_Data!$V$2:$V$301,"Yes")</f>
        <v>132701922.86999999</v>
      </c>
    </row>
    <row r="9" spans="2:9" x14ac:dyDescent="0.3">
      <c r="B9" s="21" t="s">
        <v>155</v>
      </c>
      <c r="C9" s="36">
        <f>COUNTIFS(Cleaned_Data!$C$2:$C$301,$B9,Cleaned_Data!$K$2:$K$301,C$5,Cleaned_Data!$V$2:$V$301,"Yes")</f>
        <v>5</v>
      </c>
      <c r="D9" s="36">
        <f>COUNTIFS(Cleaned_Data!$C$2:$C$301,$B9,Cleaned_Data!$K$2:$K$301,D$5,Cleaned_Data!$V$2:$V$301,"Yes")</f>
        <v>3</v>
      </c>
      <c r="E9" s="36">
        <f>COUNTIFS(Cleaned_Data!$C$2:$C$301,$B9,Cleaned_Data!$K$2:$K$301,E$5,Cleaned_Data!$V$2:$V$301,"Yes")</f>
        <v>2</v>
      </c>
      <c r="F9" s="36">
        <f>COUNTIFS(Cleaned_Data!$C$2:$C$301,$B9,Cleaned_Data!$K$2:$K$301,F$5,Cleaned_Data!$V$2:$V$301,"Yes")</f>
        <v>3</v>
      </c>
      <c r="G9" s="36">
        <f>COUNTIFS(Cleaned_Data!$C$2:$C$301,$B9,Cleaned_Data!$K$2:$K$301,G$5,Cleaned_Data!$V$2:$V$301,"Yes")</f>
        <v>10</v>
      </c>
      <c r="H9" s="27">
        <f t="shared" si="0"/>
        <v>23</v>
      </c>
      <c r="I9" s="37">
        <f>SUMIFS(Cleaned_Data!$Q$2:$Q$301,Cleaned_Data!$C$2:$C$301,$B9,Cleaned_Data!$V$2:$V$301,"Yes")</f>
        <v>76169217.399999991</v>
      </c>
    </row>
    <row r="10" spans="2:9" x14ac:dyDescent="0.3">
      <c r="B10" s="21" t="s">
        <v>255</v>
      </c>
      <c r="C10" s="36">
        <f>COUNTIFS(Cleaned_Data!$C$2:$C$301,$B10,Cleaned_Data!$K$2:$K$301,C$5,Cleaned_Data!$V$2:$V$301,"Yes")</f>
        <v>6</v>
      </c>
      <c r="D10" s="36">
        <f>COUNTIFS(Cleaned_Data!$C$2:$C$301,$B10,Cleaned_Data!$K$2:$K$301,D$5,Cleaned_Data!$V$2:$V$301,"Yes")</f>
        <v>5</v>
      </c>
      <c r="E10" s="36">
        <f>COUNTIFS(Cleaned_Data!$C$2:$C$301,$B10,Cleaned_Data!$K$2:$K$301,E$5,Cleaned_Data!$V$2:$V$301,"Yes")</f>
        <v>1</v>
      </c>
      <c r="F10" s="36">
        <f>COUNTIFS(Cleaned_Data!$C$2:$C$301,$B10,Cleaned_Data!$K$2:$K$301,F$5,Cleaned_Data!$V$2:$V$301,"Yes")</f>
        <v>8</v>
      </c>
      <c r="G10" s="36">
        <f>COUNTIFS(Cleaned_Data!$C$2:$C$301,$B10,Cleaned_Data!$K$2:$K$301,G$5,Cleaned_Data!$V$2:$V$301,"Yes")</f>
        <v>9</v>
      </c>
      <c r="H10" s="27">
        <f t="shared" si="0"/>
        <v>29</v>
      </c>
      <c r="I10" s="37">
        <f>SUMIFS(Cleaned_Data!$Q$2:$Q$301,Cleaned_Data!$C$2:$C$301,$B10,Cleaned_Data!$V$2:$V$301,"Yes")</f>
        <v>125557593.56999998</v>
      </c>
    </row>
    <row r="11" spans="2:9" x14ac:dyDescent="0.3">
      <c r="B11" s="21" t="s">
        <v>107</v>
      </c>
      <c r="C11" s="36">
        <f>COUNTIFS(Cleaned_Data!$C$2:$C$301,$B11,Cleaned_Data!$K$2:$K$301,C$5,Cleaned_Data!$V$2:$V$301,"Yes")</f>
        <v>0</v>
      </c>
      <c r="D11" s="36">
        <f>COUNTIFS(Cleaned_Data!$C$2:$C$301,$B11,Cleaned_Data!$K$2:$K$301,D$5,Cleaned_Data!$V$2:$V$301,"Yes")</f>
        <v>7</v>
      </c>
      <c r="E11" s="36">
        <f>COUNTIFS(Cleaned_Data!$C$2:$C$301,$B11,Cleaned_Data!$K$2:$K$301,E$5,Cleaned_Data!$V$2:$V$301,"Yes")</f>
        <v>2</v>
      </c>
      <c r="F11" s="36">
        <f>COUNTIFS(Cleaned_Data!$C$2:$C$301,$B11,Cleaned_Data!$K$2:$K$301,F$5,Cleaned_Data!$V$2:$V$301,"Yes")</f>
        <v>5</v>
      </c>
      <c r="G11" s="36">
        <f>COUNTIFS(Cleaned_Data!$C$2:$C$301,$B11,Cleaned_Data!$K$2:$K$301,G$5,Cleaned_Data!$V$2:$V$301,"Yes")</f>
        <v>12</v>
      </c>
      <c r="H11" s="27">
        <f t="shared" si="0"/>
        <v>26</v>
      </c>
      <c r="I11" s="37">
        <f>SUMIFS(Cleaned_Data!$Q$2:$Q$301,Cleaned_Data!$C$2:$C$301,$B11,Cleaned_Data!$V$2:$V$301,"Yes")</f>
        <v>90798517.23999998</v>
      </c>
    </row>
    <row r="12" spans="2:9" x14ac:dyDescent="0.3">
      <c r="B12" s="21" t="s">
        <v>299</v>
      </c>
      <c r="C12" s="36">
        <f>COUNTIFS(Cleaned_Data!$C$2:$C$301,$B12,Cleaned_Data!$K$2:$K$301,C$5,Cleaned_Data!$V$2:$V$301,"Yes")</f>
        <v>6</v>
      </c>
      <c r="D12" s="36">
        <f>COUNTIFS(Cleaned_Data!$C$2:$C$301,$B12,Cleaned_Data!$K$2:$K$301,D$5,Cleaned_Data!$V$2:$V$301,"Yes")</f>
        <v>9</v>
      </c>
      <c r="E12" s="36">
        <f>COUNTIFS(Cleaned_Data!$C$2:$C$301,$B12,Cleaned_Data!$K$2:$K$301,E$5,Cleaned_Data!$V$2:$V$301,"Yes")</f>
        <v>4</v>
      </c>
      <c r="F12" s="36">
        <f>COUNTIFS(Cleaned_Data!$C$2:$C$301,$B12,Cleaned_Data!$K$2:$K$301,F$5,Cleaned_Data!$V$2:$V$301,"Yes")</f>
        <v>6</v>
      </c>
      <c r="G12" s="36">
        <f>COUNTIFS(Cleaned_Data!$C$2:$C$301,$B12,Cleaned_Data!$K$2:$K$301,G$5,Cleaned_Data!$V$2:$V$301,"Yes")</f>
        <v>9</v>
      </c>
      <c r="H12" s="27">
        <f t="shared" si="0"/>
        <v>34</v>
      </c>
      <c r="I12" s="37">
        <f>SUMIFS(Cleaned_Data!$Q$2:$Q$301,Cleaned_Data!$C$2:$C$301,$B12,Cleaned_Data!$V$2:$V$301,"Yes")</f>
        <v>135489778.13</v>
      </c>
    </row>
    <row r="13" spans="2:9" x14ac:dyDescent="0.3">
      <c r="B13" s="21" t="s">
        <v>232</v>
      </c>
      <c r="C13" s="36">
        <f>COUNTIFS(Cleaned_Data!$C$2:$C$301,$B13,Cleaned_Data!$K$2:$K$301,C$5,Cleaned_Data!$V$2:$V$301,"Yes")</f>
        <v>7</v>
      </c>
      <c r="D13" s="36">
        <f>COUNTIFS(Cleaned_Data!$C$2:$C$301,$B13,Cleaned_Data!$K$2:$K$301,D$5,Cleaned_Data!$V$2:$V$301,"Yes")</f>
        <v>10</v>
      </c>
      <c r="E13" s="36">
        <f>COUNTIFS(Cleaned_Data!$C$2:$C$301,$B13,Cleaned_Data!$K$2:$K$301,E$5,Cleaned_Data!$V$2:$V$301,"Yes")</f>
        <v>1</v>
      </c>
      <c r="F13" s="36">
        <f>COUNTIFS(Cleaned_Data!$C$2:$C$301,$B13,Cleaned_Data!$K$2:$K$301,F$5,Cleaned_Data!$V$2:$V$301,"Yes")</f>
        <v>7</v>
      </c>
      <c r="G13" s="36">
        <f>COUNTIFS(Cleaned_Data!$C$2:$C$301,$B13,Cleaned_Data!$K$2:$K$301,G$5,Cleaned_Data!$V$2:$V$301,"Yes")</f>
        <v>13</v>
      </c>
      <c r="H13" s="27">
        <f t="shared" si="0"/>
        <v>38</v>
      </c>
      <c r="I13" s="37">
        <f>SUMIFS(Cleaned_Data!$Q$2:$Q$301,Cleaned_Data!$C$2:$C$301,$B13,Cleaned_Data!$V$2:$V$301,"Yes")</f>
        <v>121460868.33999999</v>
      </c>
    </row>
    <row r="14" spans="2:9" x14ac:dyDescent="0.3">
      <c r="B14" s="20" t="s">
        <v>1137</v>
      </c>
      <c r="C14" s="27">
        <f t="shared" ref="C14:I14" si="1">SUM(C6:C13)</f>
        <v>36</v>
      </c>
      <c r="D14" s="27">
        <f t="shared" si="1"/>
        <v>50</v>
      </c>
      <c r="E14" s="27">
        <f t="shared" si="1"/>
        <v>18</v>
      </c>
      <c r="F14" s="27">
        <f t="shared" si="1"/>
        <v>48</v>
      </c>
      <c r="G14" s="27">
        <f t="shared" si="1"/>
        <v>86</v>
      </c>
      <c r="H14" s="27">
        <f t="shared" si="1"/>
        <v>238</v>
      </c>
      <c r="I14" s="38">
        <f t="shared" si="1"/>
        <v>911642496.46000004</v>
      </c>
    </row>
  </sheetData>
  <mergeCells count="1">
    <mergeCell ref="B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5F"/>
    <pageSetUpPr fitToPage="1"/>
  </sheetPr>
  <dimension ref="B2:O1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15" width="11" customWidth="1"/>
  </cols>
  <sheetData>
    <row r="2" spans="2:15" ht="17.399999999999999" x14ac:dyDescent="0.3">
      <c r="B2" s="35" t="s">
        <v>1138</v>
      </c>
    </row>
    <row r="3" spans="2:15" x14ac:dyDescent="0.3">
      <c r="B3" s="7" t="s">
        <v>1139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2:15" x14ac:dyDescent="0.3">
      <c r="B5" s="16" t="s">
        <v>43</v>
      </c>
      <c r="C5" s="16" t="s">
        <v>1140</v>
      </c>
      <c r="D5" s="16" t="s">
        <v>1141</v>
      </c>
      <c r="E5" s="16" t="s">
        <v>1142</v>
      </c>
      <c r="F5" s="16" t="s">
        <v>1143</v>
      </c>
      <c r="G5" s="16" t="s">
        <v>1144</v>
      </c>
      <c r="H5" s="16" t="s">
        <v>1145</v>
      </c>
      <c r="I5" s="16" t="s">
        <v>1146</v>
      </c>
      <c r="J5" s="16" t="s">
        <v>1147</v>
      </c>
      <c r="K5" s="16" t="s">
        <v>1148</v>
      </c>
      <c r="L5" s="16" t="s">
        <v>1149</v>
      </c>
      <c r="M5" s="16" t="s">
        <v>1150</v>
      </c>
      <c r="N5" s="16" t="s">
        <v>1151</v>
      </c>
      <c r="O5" s="16" t="s">
        <v>1152</v>
      </c>
    </row>
    <row r="6" spans="2:15" x14ac:dyDescent="0.3">
      <c r="B6" s="21" t="s">
        <v>149</v>
      </c>
      <c r="C6" s="37">
        <f>SUMIFS(Cleaned_Data!$Q$2:$Q$301,Cleaned_Data!$E$2:$E$301,$B6,Cleaned_Data!$W$2:$W$301,C$5,Cleaned_Data!$V$2:$V$301,"Yes")</f>
        <v>14192323.050000001</v>
      </c>
      <c r="D6" s="37">
        <f>SUMIFS(Cleaned_Data!$Q$2:$Q$301,Cleaned_Data!$E$2:$E$301,$B6,Cleaned_Data!$W$2:$W$301,D$5,Cleaned_Data!$V$2:$V$301,"Yes")</f>
        <v>4711067.54</v>
      </c>
      <c r="E6" s="37">
        <f>SUMIFS(Cleaned_Data!$Q$2:$Q$301,Cleaned_Data!$E$2:$E$301,$B6,Cleaned_Data!$W$2:$W$301,E$5,Cleaned_Data!$V$2:$V$301,"Yes")</f>
        <v>0</v>
      </c>
      <c r="F6" s="37">
        <f>SUMIFS(Cleaned_Data!$Q$2:$Q$301,Cleaned_Data!$E$2:$E$301,$B6,Cleaned_Data!$W$2:$W$301,F$5,Cleaned_Data!$V$2:$V$301,"Yes")</f>
        <v>21652337.600000001</v>
      </c>
      <c r="G6" s="37">
        <f>SUMIFS(Cleaned_Data!$Q$2:$Q$301,Cleaned_Data!$E$2:$E$301,$B6,Cleaned_Data!$W$2:$W$301,G$5,Cleaned_Data!$V$2:$V$301,"Yes")</f>
        <v>7521551.1799999997</v>
      </c>
      <c r="H6" s="37">
        <f>SUMIFS(Cleaned_Data!$Q$2:$Q$301,Cleaned_Data!$E$2:$E$301,$B6,Cleaned_Data!$W$2:$W$301,H$5,Cleaned_Data!$V$2:$V$301,"Yes")</f>
        <v>0</v>
      </c>
      <c r="I6" s="37">
        <f>SUMIFS(Cleaned_Data!$Q$2:$Q$301,Cleaned_Data!$E$2:$E$301,$B6,Cleaned_Data!$W$2:$W$301,I$5,Cleaned_Data!$V$2:$V$301,"Yes")</f>
        <v>17273635.84</v>
      </c>
      <c r="J6" s="37">
        <f>SUMIFS(Cleaned_Data!$Q$2:$Q$301,Cleaned_Data!$E$2:$E$301,$B6,Cleaned_Data!$W$2:$W$301,J$5,Cleaned_Data!$V$2:$V$301,"Yes")</f>
        <v>3685176</v>
      </c>
      <c r="K6" s="37">
        <f>SUMIFS(Cleaned_Data!$Q$2:$Q$301,Cleaned_Data!$E$2:$E$301,$B6,Cleaned_Data!$W$2:$W$301,K$5,Cleaned_Data!$V$2:$V$301,"Yes")</f>
        <v>0</v>
      </c>
      <c r="L6" s="37">
        <f>SUMIFS(Cleaned_Data!$Q$2:$Q$301,Cleaned_Data!$E$2:$E$301,$B6,Cleaned_Data!$W$2:$W$301,L$5,Cleaned_Data!$V$2:$V$301,"Yes")</f>
        <v>7491586.3500000006</v>
      </c>
      <c r="M6" s="37">
        <f>SUMIFS(Cleaned_Data!$Q$2:$Q$301,Cleaned_Data!$E$2:$E$301,$B6,Cleaned_Data!$W$2:$W$301,M$5,Cleaned_Data!$V$2:$V$301,"Yes")</f>
        <v>710665.99999999988</v>
      </c>
      <c r="N6" s="37">
        <f>SUMIFS(Cleaned_Data!$Q$2:$Q$301,Cleaned_Data!$E$2:$E$301,$B6,Cleaned_Data!$W$2:$W$301,N$5,Cleaned_Data!$V$2:$V$301,"Yes")</f>
        <v>2499094.2600000002</v>
      </c>
      <c r="O6" s="39">
        <f t="shared" ref="O6:O14" si="0">SUM(C6:N6)</f>
        <v>79737437.819999993</v>
      </c>
    </row>
    <row r="7" spans="2:15" x14ac:dyDescent="0.3">
      <c r="B7" s="21" t="s">
        <v>119</v>
      </c>
      <c r="C7" s="37">
        <f>SUMIFS(Cleaned_Data!$Q$2:$Q$301,Cleaned_Data!$E$2:$E$301,$B7,Cleaned_Data!$W$2:$W$301,C$5,Cleaned_Data!$V$2:$V$301,"Yes")</f>
        <v>0</v>
      </c>
      <c r="D7" s="37">
        <f>SUMIFS(Cleaned_Data!$Q$2:$Q$301,Cleaned_Data!$E$2:$E$301,$B7,Cleaned_Data!$W$2:$W$301,D$5,Cleaned_Data!$V$2:$V$301,"Yes")</f>
        <v>7598337.21</v>
      </c>
      <c r="E7" s="37">
        <f>SUMIFS(Cleaned_Data!$Q$2:$Q$301,Cleaned_Data!$E$2:$E$301,$B7,Cleaned_Data!$W$2:$W$301,E$5,Cleaned_Data!$V$2:$V$301,"Yes")</f>
        <v>8306415</v>
      </c>
      <c r="F7" s="37">
        <f>SUMIFS(Cleaned_Data!$Q$2:$Q$301,Cleaned_Data!$E$2:$E$301,$B7,Cleaned_Data!$W$2:$W$301,F$5,Cleaned_Data!$V$2:$V$301,"Yes")</f>
        <v>0</v>
      </c>
      <c r="G7" s="37">
        <f>SUMIFS(Cleaned_Data!$Q$2:$Q$301,Cleaned_Data!$E$2:$E$301,$B7,Cleaned_Data!$W$2:$W$301,G$5,Cleaned_Data!$V$2:$V$301,"Yes")</f>
        <v>11194237.439999999</v>
      </c>
      <c r="H7" s="37">
        <f>SUMIFS(Cleaned_Data!$Q$2:$Q$301,Cleaned_Data!$E$2:$E$301,$B7,Cleaned_Data!$W$2:$W$301,H$5,Cleaned_Data!$V$2:$V$301,"Yes")</f>
        <v>15845338.41</v>
      </c>
      <c r="I7" s="37">
        <f>SUMIFS(Cleaned_Data!$Q$2:$Q$301,Cleaned_Data!$E$2:$E$301,$B7,Cleaned_Data!$W$2:$W$301,I$5,Cleaned_Data!$V$2:$V$301,"Yes")</f>
        <v>1514604</v>
      </c>
      <c r="J7" s="37">
        <f>SUMIFS(Cleaned_Data!$Q$2:$Q$301,Cleaned_Data!$E$2:$E$301,$B7,Cleaned_Data!$W$2:$W$301,J$5,Cleaned_Data!$V$2:$V$301,"Yes")</f>
        <v>5983344.7199999997</v>
      </c>
      <c r="K7" s="37">
        <f>SUMIFS(Cleaned_Data!$Q$2:$Q$301,Cleaned_Data!$E$2:$E$301,$B7,Cleaned_Data!$W$2:$W$301,K$5,Cleaned_Data!$V$2:$V$301,"Yes")</f>
        <v>16992234</v>
      </c>
      <c r="L7" s="37">
        <f>SUMIFS(Cleaned_Data!$Q$2:$Q$301,Cleaned_Data!$E$2:$E$301,$B7,Cleaned_Data!$W$2:$W$301,L$5,Cleaned_Data!$V$2:$V$301,"Yes")</f>
        <v>598405.32000000007</v>
      </c>
      <c r="M7" s="37">
        <f>SUMIFS(Cleaned_Data!$Q$2:$Q$301,Cleaned_Data!$E$2:$E$301,$B7,Cleaned_Data!$W$2:$W$301,M$5,Cleaned_Data!$V$2:$V$301,"Yes")</f>
        <v>13872512.960000001</v>
      </c>
      <c r="N7" s="37">
        <f>SUMIFS(Cleaned_Data!$Q$2:$Q$301,Cleaned_Data!$E$2:$E$301,$B7,Cleaned_Data!$W$2:$W$301,N$5,Cleaned_Data!$V$2:$V$301,"Yes")</f>
        <v>9340320</v>
      </c>
      <c r="O7" s="39">
        <f t="shared" si="0"/>
        <v>91245749.060000002</v>
      </c>
    </row>
    <row r="8" spans="2:15" x14ac:dyDescent="0.3">
      <c r="B8" s="21" t="s">
        <v>555</v>
      </c>
      <c r="C8" s="37">
        <f>SUMIFS(Cleaned_Data!$Q$2:$Q$301,Cleaned_Data!$E$2:$E$301,$B8,Cleaned_Data!$W$2:$W$301,C$5,Cleaned_Data!$V$2:$V$301,"Yes")</f>
        <v>26720725.370000001</v>
      </c>
      <c r="D8" s="37">
        <f>SUMIFS(Cleaned_Data!$Q$2:$Q$301,Cleaned_Data!$E$2:$E$301,$B8,Cleaned_Data!$W$2:$W$301,D$5,Cleaned_Data!$V$2:$V$301,"Yes")</f>
        <v>0</v>
      </c>
      <c r="E8" s="37">
        <f>SUMIFS(Cleaned_Data!$Q$2:$Q$301,Cleaned_Data!$E$2:$E$301,$B8,Cleaned_Data!$W$2:$W$301,E$5,Cleaned_Data!$V$2:$V$301,"Yes")</f>
        <v>4697745.5600000005</v>
      </c>
      <c r="F8" s="37">
        <f>SUMIFS(Cleaned_Data!$Q$2:$Q$301,Cleaned_Data!$E$2:$E$301,$B8,Cleaned_Data!$W$2:$W$301,F$5,Cleaned_Data!$V$2:$V$301,"Yes")</f>
        <v>2557084.2000000002</v>
      </c>
      <c r="G8" s="37">
        <f>SUMIFS(Cleaned_Data!$Q$2:$Q$301,Cleaned_Data!$E$2:$E$301,$B8,Cleaned_Data!$W$2:$W$301,G$5,Cleaned_Data!$V$2:$V$301,"Yes")</f>
        <v>12267056.34</v>
      </c>
      <c r="H8" s="37">
        <f>SUMIFS(Cleaned_Data!$Q$2:$Q$301,Cleaned_Data!$E$2:$E$301,$B8,Cleaned_Data!$W$2:$W$301,H$5,Cleaned_Data!$V$2:$V$301,"Yes")</f>
        <v>7774859.5599999996</v>
      </c>
      <c r="I8" s="37">
        <f>SUMIFS(Cleaned_Data!$Q$2:$Q$301,Cleaned_Data!$E$2:$E$301,$B8,Cleaned_Data!$W$2:$W$301,I$5,Cleaned_Data!$V$2:$V$301,"Yes")</f>
        <v>0</v>
      </c>
      <c r="J8" s="37">
        <f>SUMIFS(Cleaned_Data!$Q$2:$Q$301,Cleaned_Data!$E$2:$E$301,$B8,Cleaned_Data!$W$2:$W$301,J$5,Cleaned_Data!$V$2:$V$301,"Yes")</f>
        <v>6872163.25</v>
      </c>
      <c r="K8" s="37">
        <f>SUMIFS(Cleaned_Data!$Q$2:$Q$301,Cleaned_Data!$E$2:$E$301,$B8,Cleaned_Data!$W$2:$W$301,K$5,Cleaned_Data!$V$2:$V$301,"Yes")</f>
        <v>6076945.2200000007</v>
      </c>
      <c r="L8" s="37">
        <f>SUMIFS(Cleaned_Data!$Q$2:$Q$301,Cleaned_Data!$E$2:$E$301,$B8,Cleaned_Data!$W$2:$W$301,L$5,Cleaned_Data!$V$2:$V$301,"Yes")</f>
        <v>11300480</v>
      </c>
      <c r="M8" s="37">
        <f>SUMIFS(Cleaned_Data!$Q$2:$Q$301,Cleaned_Data!$E$2:$E$301,$B8,Cleaned_Data!$W$2:$W$301,M$5,Cleaned_Data!$V$2:$V$301,"Yes")</f>
        <v>0</v>
      </c>
      <c r="N8" s="37">
        <f>SUMIFS(Cleaned_Data!$Q$2:$Q$301,Cleaned_Data!$E$2:$E$301,$B8,Cleaned_Data!$W$2:$W$301,N$5,Cleaned_Data!$V$2:$V$301,"Yes")</f>
        <v>21376259.369999997</v>
      </c>
      <c r="O8" s="39">
        <f t="shared" si="0"/>
        <v>99643318.870000005</v>
      </c>
    </row>
    <row r="9" spans="2:15" x14ac:dyDescent="0.3">
      <c r="B9" s="21" t="s">
        <v>157</v>
      </c>
      <c r="C9" s="37">
        <f>SUMIFS(Cleaned_Data!$Q$2:$Q$301,Cleaned_Data!$E$2:$E$301,$B9,Cleaned_Data!$W$2:$W$301,C$5,Cleaned_Data!$V$2:$V$301,"Yes")</f>
        <v>13004113.319999998</v>
      </c>
      <c r="D9" s="37">
        <f>SUMIFS(Cleaned_Data!$Q$2:$Q$301,Cleaned_Data!$E$2:$E$301,$B9,Cleaned_Data!$W$2:$W$301,D$5,Cleaned_Data!$V$2:$V$301,"Yes")</f>
        <v>969363</v>
      </c>
      <c r="E9" s="37">
        <f>SUMIFS(Cleaned_Data!$Q$2:$Q$301,Cleaned_Data!$E$2:$E$301,$B9,Cleaned_Data!$W$2:$W$301,E$5,Cleaned_Data!$V$2:$V$301,"Yes")</f>
        <v>7260015.4800000004</v>
      </c>
      <c r="F9" s="37">
        <f>SUMIFS(Cleaned_Data!$Q$2:$Q$301,Cleaned_Data!$E$2:$E$301,$B9,Cleaned_Data!$W$2:$W$301,F$5,Cleaned_Data!$V$2:$V$301,"Yes")</f>
        <v>7479028.6200000001</v>
      </c>
      <c r="G9" s="37">
        <f>SUMIFS(Cleaned_Data!$Q$2:$Q$301,Cleaned_Data!$E$2:$E$301,$B9,Cleaned_Data!$W$2:$W$301,G$5,Cleaned_Data!$V$2:$V$301,"Yes")</f>
        <v>32006931.189999998</v>
      </c>
      <c r="H9" s="37">
        <f>SUMIFS(Cleaned_Data!$Q$2:$Q$301,Cleaned_Data!$E$2:$E$301,$B9,Cleaned_Data!$W$2:$W$301,H$5,Cleaned_Data!$V$2:$V$301,"Yes")</f>
        <v>10721246.24</v>
      </c>
      <c r="I9" s="37">
        <f>SUMIFS(Cleaned_Data!$Q$2:$Q$301,Cleaned_Data!$E$2:$E$301,$B9,Cleaned_Data!$W$2:$W$301,I$5,Cleaned_Data!$V$2:$V$301,"Yes")</f>
        <v>20572985.280000001</v>
      </c>
      <c r="J9" s="37">
        <f>SUMIFS(Cleaned_Data!$Q$2:$Q$301,Cleaned_Data!$E$2:$E$301,$B9,Cleaned_Data!$W$2:$W$301,J$5,Cleaned_Data!$V$2:$V$301,"Yes")</f>
        <v>0</v>
      </c>
      <c r="K9" s="37">
        <f>SUMIFS(Cleaned_Data!$Q$2:$Q$301,Cleaned_Data!$E$2:$E$301,$B9,Cleaned_Data!$W$2:$W$301,K$5,Cleaned_Data!$V$2:$V$301,"Yes")</f>
        <v>14624946.040000001</v>
      </c>
      <c r="L9" s="37">
        <f>SUMIFS(Cleaned_Data!$Q$2:$Q$301,Cleaned_Data!$E$2:$E$301,$B9,Cleaned_Data!$W$2:$W$301,L$5,Cleaned_Data!$V$2:$V$301,"Yes")</f>
        <v>0</v>
      </c>
      <c r="M9" s="37">
        <f>SUMIFS(Cleaned_Data!$Q$2:$Q$301,Cleaned_Data!$E$2:$E$301,$B9,Cleaned_Data!$W$2:$W$301,M$5,Cleaned_Data!$V$2:$V$301,"Yes")</f>
        <v>740071.8</v>
      </c>
      <c r="N9" s="37">
        <f>SUMIFS(Cleaned_Data!$Q$2:$Q$301,Cleaned_Data!$E$2:$E$301,$B9,Cleaned_Data!$W$2:$W$301,N$5,Cleaned_Data!$V$2:$V$301,"Yes")</f>
        <v>8911314.0300000012</v>
      </c>
      <c r="O9" s="39">
        <f t="shared" si="0"/>
        <v>116290015</v>
      </c>
    </row>
    <row r="10" spans="2:15" x14ac:dyDescent="0.3">
      <c r="B10" s="21" t="s">
        <v>128</v>
      </c>
      <c r="C10" s="37">
        <f>SUMIFS(Cleaned_Data!$Q$2:$Q$301,Cleaned_Data!$E$2:$E$301,$B10,Cleaned_Data!$W$2:$W$301,C$5,Cleaned_Data!$V$2:$V$301,"Yes")</f>
        <v>2145181</v>
      </c>
      <c r="D10" s="37">
        <f>SUMIFS(Cleaned_Data!$Q$2:$Q$301,Cleaned_Data!$E$2:$E$301,$B10,Cleaned_Data!$W$2:$W$301,D$5,Cleaned_Data!$V$2:$V$301,"Yes")</f>
        <v>553572.14</v>
      </c>
      <c r="E10" s="37">
        <f>SUMIFS(Cleaned_Data!$Q$2:$Q$301,Cleaned_Data!$E$2:$E$301,$B10,Cleaned_Data!$W$2:$W$301,E$5,Cleaned_Data!$V$2:$V$301,"Yes")</f>
        <v>12817767</v>
      </c>
      <c r="F10" s="37">
        <f>SUMIFS(Cleaned_Data!$Q$2:$Q$301,Cleaned_Data!$E$2:$E$301,$B10,Cleaned_Data!$W$2:$W$301,F$5,Cleaned_Data!$V$2:$V$301,"Yes")</f>
        <v>15501493.720000001</v>
      </c>
      <c r="G10" s="37">
        <f>SUMIFS(Cleaned_Data!$Q$2:$Q$301,Cleaned_Data!$E$2:$E$301,$B10,Cleaned_Data!$W$2:$W$301,G$5,Cleaned_Data!$V$2:$V$301,"Yes")</f>
        <v>0</v>
      </c>
      <c r="H10" s="37">
        <f>SUMIFS(Cleaned_Data!$Q$2:$Q$301,Cleaned_Data!$E$2:$E$301,$B10,Cleaned_Data!$W$2:$W$301,H$5,Cleaned_Data!$V$2:$V$301,"Yes")</f>
        <v>4103310.22</v>
      </c>
      <c r="I10" s="37">
        <f>SUMIFS(Cleaned_Data!$Q$2:$Q$301,Cleaned_Data!$E$2:$E$301,$B10,Cleaned_Data!$W$2:$W$301,I$5,Cleaned_Data!$V$2:$V$301,"Yes")</f>
        <v>0</v>
      </c>
      <c r="J10" s="37">
        <f>SUMIFS(Cleaned_Data!$Q$2:$Q$301,Cleaned_Data!$E$2:$E$301,$B10,Cleaned_Data!$W$2:$W$301,J$5,Cleaned_Data!$V$2:$V$301,"Yes")</f>
        <v>35616170.240000002</v>
      </c>
      <c r="K10" s="37">
        <f>SUMIFS(Cleaned_Data!$Q$2:$Q$301,Cleaned_Data!$E$2:$E$301,$B10,Cleaned_Data!$W$2:$W$301,K$5,Cleaned_Data!$V$2:$V$301,"Yes")</f>
        <v>10129388.639999999</v>
      </c>
      <c r="L10" s="37">
        <f>SUMIFS(Cleaned_Data!$Q$2:$Q$301,Cleaned_Data!$E$2:$E$301,$B10,Cleaned_Data!$W$2:$W$301,L$5,Cleaned_Data!$V$2:$V$301,"Yes")</f>
        <v>15953592.129999999</v>
      </c>
      <c r="M10" s="37">
        <f>SUMIFS(Cleaned_Data!$Q$2:$Q$301,Cleaned_Data!$E$2:$E$301,$B10,Cleaned_Data!$W$2:$W$301,M$5,Cleaned_Data!$V$2:$V$301,"Yes")</f>
        <v>703453.8</v>
      </c>
      <c r="N10" s="37">
        <f>SUMIFS(Cleaned_Data!$Q$2:$Q$301,Cleaned_Data!$E$2:$E$301,$B10,Cleaned_Data!$W$2:$W$301,N$5,Cleaned_Data!$V$2:$V$301,"Yes")</f>
        <v>16032551.52</v>
      </c>
      <c r="O10" s="39">
        <f t="shared" si="0"/>
        <v>113556480.40999998</v>
      </c>
    </row>
    <row r="11" spans="2:15" x14ac:dyDescent="0.3">
      <c r="B11" s="21" t="s">
        <v>227</v>
      </c>
      <c r="C11" s="37">
        <f>SUMIFS(Cleaned_Data!$Q$2:$Q$301,Cleaned_Data!$E$2:$E$301,$B11,Cleaned_Data!$W$2:$W$301,C$5,Cleaned_Data!$V$2:$V$301,"Yes")</f>
        <v>1325654.02</v>
      </c>
      <c r="D11" s="37">
        <f>SUMIFS(Cleaned_Data!$Q$2:$Q$301,Cleaned_Data!$E$2:$E$301,$B11,Cleaned_Data!$W$2:$W$301,D$5,Cleaned_Data!$V$2:$V$301,"Yes")</f>
        <v>0</v>
      </c>
      <c r="E11" s="37">
        <f>SUMIFS(Cleaned_Data!$Q$2:$Q$301,Cleaned_Data!$E$2:$E$301,$B11,Cleaned_Data!$W$2:$W$301,E$5,Cleaned_Data!$V$2:$V$301,"Yes")</f>
        <v>1429120</v>
      </c>
      <c r="F11" s="37">
        <f>SUMIFS(Cleaned_Data!$Q$2:$Q$301,Cleaned_Data!$E$2:$E$301,$B11,Cleaned_Data!$W$2:$W$301,F$5,Cleaned_Data!$V$2:$V$301,"Yes")</f>
        <v>7102365.5999999996</v>
      </c>
      <c r="G11" s="37">
        <f>SUMIFS(Cleaned_Data!$Q$2:$Q$301,Cleaned_Data!$E$2:$E$301,$B11,Cleaned_Data!$W$2:$W$301,G$5,Cleaned_Data!$V$2:$V$301,"Yes")</f>
        <v>14565678.719999999</v>
      </c>
      <c r="H11" s="37">
        <f>SUMIFS(Cleaned_Data!$Q$2:$Q$301,Cleaned_Data!$E$2:$E$301,$B11,Cleaned_Data!$W$2:$W$301,H$5,Cleaned_Data!$V$2:$V$301,"Yes")</f>
        <v>0</v>
      </c>
      <c r="I11" s="37">
        <f>SUMIFS(Cleaned_Data!$Q$2:$Q$301,Cleaned_Data!$E$2:$E$301,$B11,Cleaned_Data!$W$2:$W$301,I$5,Cleaned_Data!$V$2:$V$301,"Yes")</f>
        <v>14673733.27</v>
      </c>
      <c r="J11" s="37">
        <f>SUMIFS(Cleaned_Data!$Q$2:$Q$301,Cleaned_Data!$E$2:$E$301,$B11,Cleaned_Data!$W$2:$W$301,J$5,Cleaned_Data!$V$2:$V$301,"Yes")</f>
        <v>13369502.560000001</v>
      </c>
      <c r="K11" s="37">
        <f>SUMIFS(Cleaned_Data!$Q$2:$Q$301,Cleaned_Data!$E$2:$E$301,$B11,Cleaned_Data!$W$2:$W$301,K$5,Cleaned_Data!$V$2:$V$301,"Yes")</f>
        <v>19460874.059999999</v>
      </c>
      <c r="L11" s="37">
        <f>SUMIFS(Cleaned_Data!$Q$2:$Q$301,Cleaned_Data!$E$2:$E$301,$B11,Cleaned_Data!$W$2:$W$301,L$5,Cleaned_Data!$V$2:$V$301,"Yes")</f>
        <v>0</v>
      </c>
      <c r="M11" s="37">
        <f>SUMIFS(Cleaned_Data!$Q$2:$Q$301,Cleaned_Data!$E$2:$E$301,$B11,Cleaned_Data!$W$2:$W$301,M$5,Cleaned_Data!$V$2:$V$301,"Yes")</f>
        <v>0</v>
      </c>
      <c r="N11" s="37">
        <f>SUMIFS(Cleaned_Data!$Q$2:$Q$301,Cleaned_Data!$E$2:$E$301,$B11,Cleaned_Data!$W$2:$W$301,N$5,Cleaned_Data!$V$2:$V$301,"Yes")</f>
        <v>2176515</v>
      </c>
      <c r="O11" s="39">
        <f t="shared" si="0"/>
        <v>74103443.230000004</v>
      </c>
    </row>
    <row r="12" spans="2:15" x14ac:dyDescent="0.3">
      <c r="B12" s="21" t="s">
        <v>472</v>
      </c>
      <c r="C12" s="37">
        <f>SUMIFS(Cleaned_Data!$Q$2:$Q$301,Cleaned_Data!$E$2:$E$301,$B12,Cleaned_Data!$W$2:$W$301,C$5,Cleaned_Data!$V$2:$V$301,"Yes")</f>
        <v>3063400</v>
      </c>
      <c r="D12" s="37">
        <f>SUMIFS(Cleaned_Data!$Q$2:$Q$301,Cleaned_Data!$E$2:$E$301,$B12,Cleaned_Data!$W$2:$W$301,D$5,Cleaned_Data!$V$2:$V$301,"Yes")</f>
        <v>2413030.3999999999</v>
      </c>
      <c r="E12" s="37">
        <f>SUMIFS(Cleaned_Data!$Q$2:$Q$301,Cleaned_Data!$E$2:$E$301,$B12,Cleaned_Data!$W$2:$W$301,E$5,Cleaned_Data!$V$2:$V$301,"Yes")</f>
        <v>0</v>
      </c>
      <c r="F12" s="37">
        <f>SUMIFS(Cleaned_Data!$Q$2:$Q$301,Cleaned_Data!$E$2:$E$301,$B12,Cleaned_Data!$W$2:$W$301,F$5,Cleaned_Data!$V$2:$V$301,"Yes")</f>
        <v>0</v>
      </c>
      <c r="G12" s="37">
        <f>SUMIFS(Cleaned_Data!$Q$2:$Q$301,Cleaned_Data!$E$2:$E$301,$B12,Cleaned_Data!$W$2:$W$301,G$5,Cleaned_Data!$V$2:$V$301,"Yes")</f>
        <v>13557595.700000001</v>
      </c>
      <c r="H12" s="37">
        <f>SUMIFS(Cleaned_Data!$Q$2:$Q$301,Cleaned_Data!$E$2:$E$301,$B12,Cleaned_Data!$W$2:$W$301,H$5,Cleaned_Data!$V$2:$V$301,"Yes")</f>
        <v>0</v>
      </c>
      <c r="I12" s="37">
        <f>SUMIFS(Cleaned_Data!$Q$2:$Q$301,Cleaned_Data!$E$2:$E$301,$B12,Cleaned_Data!$W$2:$W$301,I$5,Cleaned_Data!$V$2:$V$301,"Yes")</f>
        <v>10137697.199999999</v>
      </c>
      <c r="J12" s="37">
        <f>SUMIFS(Cleaned_Data!$Q$2:$Q$301,Cleaned_Data!$E$2:$E$301,$B12,Cleaned_Data!$W$2:$W$301,J$5,Cleaned_Data!$V$2:$V$301,"Yes")</f>
        <v>14243116.68</v>
      </c>
      <c r="K12" s="37">
        <f>SUMIFS(Cleaned_Data!$Q$2:$Q$301,Cleaned_Data!$E$2:$E$301,$B12,Cleaned_Data!$W$2:$W$301,K$5,Cleaned_Data!$V$2:$V$301,"Yes")</f>
        <v>9762906.7999999989</v>
      </c>
      <c r="L12" s="37">
        <f>SUMIFS(Cleaned_Data!$Q$2:$Q$301,Cleaned_Data!$E$2:$E$301,$B12,Cleaned_Data!$W$2:$W$301,L$5,Cleaned_Data!$V$2:$V$301,"Yes")</f>
        <v>6268696</v>
      </c>
      <c r="M12" s="37">
        <f>SUMIFS(Cleaned_Data!$Q$2:$Q$301,Cleaned_Data!$E$2:$E$301,$B12,Cleaned_Data!$W$2:$W$301,M$5,Cleaned_Data!$V$2:$V$301,"Yes")</f>
        <v>16338764</v>
      </c>
      <c r="N12" s="37">
        <f>SUMIFS(Cleaned_Data!$Q$2:$Q$301,Cleaned_Data!$E$2:$E$301,$B12,Cleaned_Data!$W$2:$W$301,N$5,Cleaned_Data!$V$2:$V$301,"Yes")</f>
        <v>17249551.199999999</v>
      </c>
      <c r="O12" s="39">
        <f t="shared" si="0"/>
        <v>93034757.980000004</v>
      </c>
    </row>
    <row r="13" spans="2:15" x14ac:dyDescent="0.3">
      <c r="B13" s="21" t="s">
        <v>257</v>
      </c>
      <c r="C13" s="37">
        <f>SUMIFS(Cleaned_Data!$Q$2:$Q$301,Cleaned_Data!$E$2:$E$301,$B13,Cleaned_Data!$W$2:$W$301,C$5,Cleaned_Data!$V$2:$V$301,"Yes")</f>
        <v>5313707</v>
      </c>
      <c r="D13" s="37">
        <f>SUMIFS(Cleaned_Data!$Q$2:$Q$301,Cleaned_Data!$E$2:$E$301,$B13,Cleaned_Data!$W$2:$W$301,D$5,Cleaned_Data!$V$2:$V$301,"Yes")</f>
        <v>19309505.669999998</v>
      </c>
      <c r="E13" s="37">
        <f>SUMIFS(Cleaned_Data!$Q$2:$Q$301,Cleaned_Data!$E$2:$E$301,$B13,Cleaned_Data!$W$2:$W$301,E$5,Cleaned_Data!$V$2:$V$301,"Yes")</f>
        <v>1905262.7</v>
      </c>
      <c r="F13" s="37">
        <f>SUMIFS(Cleaned_Data!$Q$2:$Q$301,Cleaned_Data!$E$2:$E$301,$B13,Cleaned_Data!$W$2:$W$301,F$5,Cleaned_Data!$V$2:$V$301,"Yes")</f>
        <v>1186451.28</v>
      </c>
      <c r="G13" s="37">
        <f>SUMIFS(Cleaned_Data!$Q$2:$Q$301,Cleaned_Data!$E$2:$E$301,$B13,Cleaned_Data!$W$2:$W$301,G$5,Cleaned_Data!$V$2:$V$301,"Yes")</f>
        <v>8669926.4299999997</v>
      </c>
      <c r="H13" s="37">
        <f>SUMIFS(Cleaned_Data!$Q$2:$Q$301,Cleaned_Data!$E$2:$E$301,$B13,Cleaned_Data!$W$2:$W$301,H$5,Cleaned_Data!$V$2:$V$301,"Yes")</f>
        <v>7860009.7299999995</v>
      </c>
      <c r="I13" s="37">
        <f>SUMIFS(Cleaned_Data!$Q$2:$Q$301,Cleaned_Data!$E$2:$E$301,$B13,Cleaned_Data!$W$2:$W$301,I$5,Cleaned_Data!$V$2:$V$301,"Yes")</f>
        <v>0</v>
      </c>
      <c r="J13" s="37">
        <f>SUMIFS(Cleaned_Data!$Q$2:$Q$301,Cleaned_Data!$E$2:$E$301,$B13,Cleaned_Data!$W$2:$W$301,J$5,Cleaned_Data!$V$2:$V$301,"Yes")</f>
        <v>0</v>
      </c>
      <c r="K13" s="37">
        <f>SUMIFS(Cleaned_Data!$Q$2:$Q$301,Cleaned_Data!$E$2:$E$301,$B13,Cleaned_Data!$W$2:$W$301,K$5,Cleaned_Data!$V$2:$V$301,"Yes")</f>
        <v>0</v>
      </c>
      <c r="L13" s="37">
        <f>SUMIFS(Cleaned_Data!$Q$2:$Q$301,Cleaned_Data!$E$2:$E$301,$B13,Cleaned_Data!$W$2:$W$301,L$5,Cleaned_Data!$V$2:$V$301,"Yes")</f>
        <v>0</v>
      </c>
      <c r="M13" s="37">
        <f>SUMIFS(Cleaned_Data!$Q$2:$Q$301,Cleaned_Data!$E$2:$E$301,$B13,Cleaned_Data!$W$2:$W$301,M$5,Cleaned_Data!$V$2:$V$301,"Yes")</f>
        <v>7200074</v>
      </c>
      <c r="N13" s="37">
        <f>SUMIFS(Cleaned_Data!$Q$2:$Q$301,Cleaned_Data!$E$2:$E$301,$B13,Cleaned_Data!$W$2:$W$301,N$5,Cleaned_Data!$V$2:$V$301,"Yes")</f>
        <v>0</v>
      </c>
      <c r="O13" s="39">
        <f t="shared" si="0"/>
        <v>51444936.809999995</v>
      </c>
    </row>
    <row r="14" spans="2:15" x14ac:dyDescent="0.3">
      <c r="B14" s="21" t="s">
        <v>391</v>
      </c>
      <c r="C14" s="37">
        <f>SUMIFS(Cleaned_Data!$Q$2:$Q$301,Cleaned_Data!$E$2:$E$301,$B14,Cleaned_Data!$W$2:$W$301,C$5,Cleaned_Data!$V$2:$V$301,"Yes")</f>
        <v>1445916</v>
      </c>
      <c r="D14" s="37">
        <f>SUMIFS(Cleaned_Data!$Q$2:$Q$301,Cleaned_Data!$E$2:$E$301,$B14,Cleaned_Data!$W$2:$W$301,D$5,Cleaned_Data!$V$2:$V$301,"Yes")</f>
        <v>8514579.120000001</v>
      </c>
      <c r="E14" s="37">
        <f>SUMIFS(Cleaned_Data!$Q$2:$Q$301,Cleaned_Data!$E$2:$E$301,$B14,Cleaned_Data!$W$2:$W$301,E$5,Cleaned_Data!$V$2:$V$301,"Yes")</f>
        <v>2336758.84</v>
      </c>
      <c r="F14" s="37">
        <f>SUMIFS(Cleaned_Data!$Q$2:$Q$301,Cleaned_Data!$E$2:$E$301,$B14,Cleaned_Data!$W$2:$W$301,F$5,Cleaned_Data!$V$2:$V$301,"Yes")</f>
        <v>1728789.04</v>
      </c>
      <c r="G14" s="37">
        <f>SUMIFS(Cleaned_Data!$Q$2:$Q$301,Cleaned_Data!$E$2:$E$301,$B14,Cleaned_Data!$W$2:$W$301,G$5,Cleaned_Data!$V$2:$V$301,"Yes")</f>
        <v>0</v>
      </c>
      <c r="H14" s="37">
        <f>SUMIFS(Cleaned_Data!$Q$2:$Q$301,Cleaned_Data!$E$2:$E$301,$B14,Cleaned_Data!$W$2:$W$301,H$5,Cleaned_Data!$V$2:$V$301,"Yes")</f>
        <v>23846986.640000001</v>
      </c>
      <c r="I14" s="37">
        <f>SUMIFS(Cleaned_Data!$Q$2:$Q$301,Cleaned_Data!$E$2:$E$301,$B14,Cleaned_Data!$W$2:$W$301,I$5,Cleaned_Data!$V$2:$V$301,"Yes")</f>
        <v>0</v>
      </c>
      <c r="J14" s="37">
        <f>SUMIFS(Cleaned_Data!$Q$2:$Q$301,Cleaned_Data!$E$2:$E$301,$B14,Cleaned_Data!$W$2:$W$301,J$5,Cleaned_Data!$V$2:$V$301,"Yes")</f>
        <v>15193934</v>
      </c>
      <c r="K14" s="37">
        <f>SUMIFS(Cleaned_Data!$Q$2:$Q$301,Cleaned_Data!$E$2:$E$301,$B14,Cleaned_Data!$W$2:$W$301,K$5,Cleaned_Data!$V$2:$V$301,"Yes")</f>
        <v>0</v>
      </c>
      <c r="L14" s="37">
        <f>SUMIFS(Cleaned_Data!$Q$2:$Q$301,Cleaned_Data!$E$2:$E$301,$B14,Cleaned_Data!$W$2:$W$301,L$5,Cleaned_Data!$V$2:$V$301,"Yes")</f>
        <v>0</v>
      </c>
      <c r="M14" s="37">
        <f>SUMIFS(Cleaned_Data!$Q$2:$Q$301,Cleaned_Data!$E$2:$E$301,$B14,Cleaned_Data!$W$2:$W$301,M$5,Cleaned_Data!$V$2:$V$301,"Yes")</f>
        <v>4318322.8499999996</v>
      </c>
      <c r="N14" s="37">
        <f>SUMIFS(Cleaned_Data!$Q$2:$Q$301,Cleaned_Data!$E$2:$E$301,$B14,Cleaned_Data!$W$2:$W$301,N$5,Cleaned_Data!$V$2:$V$301,"Yes")</f>
        <v>12926396.359999999</v>
      </c>
      <c r="O14" s="39">
        <f t="shared" si="0"/>
        <v>70311682.849999994</v>
      </c>
    </row>
    <row r="15" spans="2:15" x14ac:dyDescent="0.3">
      <c r="B15" s="20" t="s">
        <v>1137</v>
      </c>
      <c r="C15" s="39">
        <f t="shared" ref="C15:O15" si="1">SUM(C6:C14)</f>
        <v>67211019.760000005</v>
      </c>
      <c r="D15" s="39">
        <f t="shared" si="1"/>
        <v>44069455.079999998</v>
      </c>
      <c r="E15" s="39">
        <f t="shared" si="1"/>
        <v>38753084.579999998</v>
      </c>
      <c r="F15" s="39">
        <f t="shared" si="1"/>
        <v>57207550.060000002</v>
      </c>
      <c r="G15" s="39">
        <f t="shared" si="1"/>
        <v>99782977</v>
      </c>
      <c r="H15" s="39">
        <f t="shared" si="1"/>
        <v>70151750.799999997</v>
      </c>
      <c r="I15" s="39">
        <f t="shared" si="1"/>
        <v>64172655.590000004</v>
      </c>
      <c r="J15" s="39">
        <f t="shared" si="1"/>
        <v>94963407.450000003</v>
      </c>
      <c r="K15" s="39">
        <f t="shared" si="1"/>
        <v>77047294.75999999</v>
      </c>
      <c r="L15" s="39">
        <f t="shared" si="1"/>
        <v>41612759.799999997</v>
      </c>
      <c r="M15" s="39">
        <f t="shared" si="1"/>
        <v>43883865.410000004</v>
      </c>
      <c r="N15" s="39">
        <f t="shared" si="1"/>
        <v>90512001.739999995</v>
      </c>
      <c r="O15" s="39">
        <f t="shared" si="1"/>
        <v>789367822.02999997</v>
      </c>
    </row>
  </sheetData>
  <mergeCells count="1">
    <mergeCell ref="B3:N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5F"/>
    <pageSetUpPr fitToPage="1"/>
  </sheetPr>
  <dimension ref="B2:H1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3" customWidth="1"/>
    <col min="3" max="4" width="15" customWidth="1"/>
    <col min="5" max="6" width="13" customWidth="1"/>
    <col min="7" max="8" width="15" customWidth="1"/>
  </cols>
  <sheetData>
    <row r="2" spans="2:8" ht="17.399999999999999" x14ac:dyDescent="0.3">
      <c r="B2" s="35" t="s">
        <v>1153</v>
      </c>
    </row>
    <row r="3" spans="2:8" x14ac:dyDescent="0.3">
      <c r="B3" s="7" t="s">
        <v>1154</v>
      </c>
      <c r="C3" s="7"/>
      <c r="D3" s="7"/>
      <c r="E3" s="7"/>
      <c r="F3" s="7"/>
      <c r="G3" s="7"/>
      <c r="H3" s="7"/>
    </row>
    <row r="5" spans="2:8" ht="30" customHeight="1" x14ac:dyDescent="0.3">
      <c r="B5" s="16" t="s">
        <v>42</v>
      </c>
      <c r="C5" s="16" t="s">
        <v>1135</v>
      </c>
      <c r="D5" s="16" t="s">
        <v>1136</v>
      </c>
      <c r="E5" s="16" t="s">
        <v>1155</v>
      </c>
      <c r="F5" s="16" t="s">
        <v>1156</v>
      </c>
      <c r="G5" s="16" t="s">
        <v>1157</v>
      </c>
      <c r="H5" s="16" t="s">
        <v>1158</v>
      </c>
    </row>
    <row r="6" spans="2:8" x14ac:dyDescent="0.3">
      <c r="B6" s="21" t="s">
        <v>118</v>
      </c>
      <c r="C6" s="36">
        <f>COUNTIFS(Cleaned_Data!$D$2:$D$301,$B6,Cleaned_Data!$V$2:$V$301,"Yes")</f>
        <v>53</v>
      </c>
      <c r="D6" s="37">
        <f>SUMIFS(Cleaned_Data!$Q$2:$Q$301,Cleaned_Data!$D$2:$D$301,$B6,Cleaned_Data!$V$2:$V$301,"Yes")</f>
        <v>169664632.84</v>
      </c>
      <c r="E6" s="36">
        <f>COUNTIFS(Cleaned_Data!$D$2:$D$301,$B6,Cleaned_Data!$K$2:$K$301,"Delivered",Cleaned_Data!$V$2:$V$301,"Yes")</f>
        <v>22</v>
      </c>
      <c r="F6" s="40">
        <f>IFERROR(AVERAGEIFS(Cleaned_Data!$R$2:$R$301,Cleaned_Data!$D$2:$D$301,$B6,Cleaned_Data!$V$2:$V$301,"Yes"),"")</f>
        <v>7.5882352941176467</v>
      </c>
      <c r="G6" s="36">
        <f>COUNTIFS(Cleaned_Data!$D$2:$D$301,$B6,Cleaned_Data!$K$2:$K$301,"Delivered",Cleaned_Data!$R$2:$R$301,"&lt;=0",Cleaned_Data!$V$2:$V$301,"Yes")</f>
        <v>4</v>
      </c>
      <c r="H6" s="41">
        <f>IFERROR(G6/E6,"")</f>
        <v>0.18181818181818182</v>
      </c>
    </row>
    <row r="7" spans="2:8" x14ac:dyDescent="0.3">
      <c r="B7" s="21" t="s">
        <v>77</v>
      </c>
      <c r="C7" s="36">
        <f>COUNTIFS(Cleaned_Data!$D$2:$D$301,$B7,Cleaned_Data!$V$2:$V$301,"Yes")</f>
        <v>59</v>
      </c>
      <c r="D7" s="37">
        <f>SUMIFS(Cleaned_Data!$Q$2:$Q$301,Cleaned_Data!$D$2:$D$301,$B7,Cleaned_Data!$V$2:$V$301,"Yes")</f>
        <v>272172197.06999999</v>
      </c>
      <c r="E7" s="36">
        <f>COUNTIFS(Cleaned_Data!$D$2:$D$301,$B7,Cleaned_Data!$K$2:$K$301,"Delivered",Cleaned_Data!$V$2:$V$301,"Yes")</f>
        <v>21</v>
      </c>
      <c r="F7" s="40">
        <f>IFERROR(AVERAGEIFS(Cleaned_Data!$R$2:$R$301,Cleaned_Data!$D$2:$D$301,$B7,Cleaned_Data!$V$2:$V$301,"Yes"),"")</f>
        <v>7.4666666666666668</v>
      </c>
      <c r="G7" s="36">
        <f>COUNTIFS(Cleaned_Data!$D$2:$D$301,$B7,Cleaned_Data!$K$2:$K$301,"Delivered",Cleaned_Data!$R$2:$R$301,"&lt;=0",Cleaned_Data!$V$2:$V$301,"Yes")</f>
        <v>3</v>
      </c>
      <c r="H7" s="41">
        <f>IFERROR(G7/E7,"")</f>
        <v>0.14285714285714285</v>
      </c>
    </row>
    <row r="8" spans="2:8" x14ac:dyDescent="0.3">
      <c r="B8" s="21" t="s">
        <v>97</v>
      </c>
      <c r="C8" s="36">
        <f>COUNTIFS(Cleaned_Data!$D$2:$D$301,$B8,Cleaned_Data!$V$2:$V$301,"Yes")</f>
        <v>65</v>
      </c>
      <c r="D8" s="37">
        <f>SUMIFS(Cleaned_Data!$Q$2:$Q$301,Cleaned_Data!$D$2:$D$301,$B8,Cleaned_Data!$V$2:$V$301,"Yes")</f>
        <v>224433160.45999998</v>
      </c>
      <c r="E8" s="36">
        <f>COUNTIFS(Cleaned_Data!$D$2:$D$301,$B8,Cleaned_Data!$K$2:$K$301,"Delivered",Cleaned_Data!$V$2:$V$301,"Yes")</f>
        <v>20</v>
      </c>
      <c r="F8" s="40">
        <f>IFERROR(AVERAGEIFS(Cleaned_Data!$R$2:$R$301,Cleaned_Data!$D$2:$D$301,$B8,Cleaned_Data!$V$2:$V$301,"Yes"),"")</f>
        <v>11.5</v>
      </c>
      <c r="G8" s="36">
        <f>COUNTIFS(Cleaned_Data!$D$2:$D$301,$B8,Cleaned_Data!$K$2:$K$301,"Delivered",Cleaned_Data!$R$2:$R$301,"&lt;=0",Cleaned_Data!$V$2:$V$301,"Yes")</f>
        <v>1</v>
      </c>
      <c r="H8" s="41">
        <f>IFERROR(G8/E8,"")</f>
        <v>0.05</v>
      </c>
    </row>
    <row r="9" spans="2:8" x14ac:dyDescent="0.3">
      <c r="B9" s="21" t="s">
        <v>249</v>
      </c>
      <c r="C9" s="36">
        <f>COUNTIFS(Cleaned_Data!$D$2:$D$301,$B9,Cleaned_Data!$V$2:$V$301,"Yes")</f>
        <v>28</v>
      </c>
      <c r="D9" s="37">
        <f>SUMIFS(Cleaned_Data!$Q$2:$Q$301,Cleaned_Data!$D$2:$D$301,$B9,Cleaned_Data!$V$2:$V$301,"Yes")</f>
        <v>94269550.469999999</v>
      </c>
      <c r="E9" s="36">
        <f>COUNTIFS(Cleaned_Data!$D$2:$D$301,$B9,Cleaned_Data!$K$2:$K$301,"Delivered",Cleaned_Data!$V$2:$V$301,"Yes")</f>
        <v>13</v>
      </c>
      <c r="F9" s="40">
        <f>IFERROR(AVERAGEIFS(Cleaned_Data!$R$2:$R$301,Cleaned_Data!$D$2:$D$301,$B9,Cleaned_Data!$V$2:$V$301,"Yes"),"")</f>
        <v>10</v>
      </c>
      <c r="G9" s="36">
        <f>COUNTIFS(Cleaned_Data!$D$2:$D$301,$B9,Cleaned_Data!$K$2:$K$301,"Delivered",Cleaned_Data!$R$2:$R$301,"&lt;=0",Cleaned_Data!$V$2:$V$301,"Yes")</f>
        <v>0</v>
      </c>
      <c r="H9" s="41">
        <f>IFERROR(G9/E9,"")</f>
        <v>0</v>
      </c>
    </row>
    <row r="10" spans="2:8" x14ac:dyDescent="0.3">
      <c r="B10" s="21" t="s">
        <v>226</v>
      </c>
      <c r="C10" s="36">
        <f>COUNTIFS(Cleaned_Data!$D$2:$D$301,$B10,Cleaned_Data!$V$2:$V$301,"Yes")</f>
        <v>33</v>
      </c>
      <c r="D10" s="37">
        <f>SUMIFS(Cleaned_Data!$Q$2:$Q$301,Cleaned_Data!$D$2:$D$301,$B10,Cleaned_Data!$V$2:$V$301,"Yes")</f>
        <v>151102955.61999997</v>
      </c>
      <c r="E10" s="36">
        <f>COUNTIFS(Cleaned_Data!$D$2:$D$301,$B10,Cleaned_Data!$K$2:$K$301,"Delivered",Cleaned_Data!$V$2:$V$301,"Yes")</f>
        <v>10</v>
      </c>
      <c r="F10" s="40">
        <f>IFERROR(AVERAGEIFS(Cleaned_Data!$R$2:$R$301,Cleaned_Data!$D$2:$D$301,$B10,Cleaned_Data!$V$2:$V$301,"Yes"),"")</f>
        <v>8.4444444444444446</v>
      </c>
      <c r="G10" s="36">
        <f>COUNTIFS(Cleaned_Data!$D$2:$D$301,$B10,Cleaned_Data!$K$2:$K$301,"Delivered",Cleaned_Data!$R$2:$R$301,"&lt;=0",Cleaned_Data!$V$2:$V$301,"Yes")</f>
        <v>3</v>
      </c>
      <c r="H10" s="41">
        <f>IFERROR(G10/E10,"")</f>
        <v>0.3</v>
      </c>
    </row>
  </sheetData>
  <mergeCells count="1">
    <mergeCell ref="B3:H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  <pageSetUpPr fitToPage="1"/>
  </sheetPr>
  <dimension ref="B2:T45"/>
  <sheetViews>
    <sheetView showGridLines="0" tabSelected="1" zoomScaleNormal="100" workbookViewId="0">
      <selection activeCell="B29" sqref="A1:XFD1048576"/>
    </sheetView>
  </sheetViews>
  <sheetFormatPr defaultColWidth="8.6640625" defaultRowHeight="14.4" x14ac:dyDescent="0.3"/>
  <cols>
    <col min="2" max="2" width="16" customWidth="1"/>
    <col min="3" max="18" width="13" customWidth="1"/>
  </cols>
  <sheetData>
    <row r="2" spans="2:19" ht="25.5" customHeight="1" x14ac:dyDescent="0.3">
      <c r="B2" s="5" t="s">
        <v>1159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9" ht="18" customHeight="1" x14ac:dyDescent="0.3">
      <c r="B3" s="4" t="s">
        <v>1160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spans="2:19" x14ac:dyDescent="0.3">
      <c r="B5" s="3">
        <f>COUNTIF(Cleaned_Data!V2:V301,"Yes")</f>
        <v>238</v>
      </c>
      <c r="C5" s="3"/>
      <c r="D5" s="3"/>
      <c r="E5" s="2">
        <f>SUMIF(Cleaned_Data!V2:V301,"Yes",Cleaned_Data!Q2:Q301)</f>
        <v>911642496.46000028</v>
      </c>
      <c r="F5" s="2"/>
      <c r="G5" s="2"/>
      <c r="H5" s="3">
        <f>COUNTIFS(Cleaned_Data!K2:K301,"Pending",Cleaned_Data!V2:V301,"Yes")</f>
        <v>36</v>
      </c>
      <c r="I5" s="3"/>
      <c r="J5" s="3"/>
      <c r="K5" s="1">
        <f>IFERROR(AVERAGEIFS(Cleaned_Data!R2:R301,Cleaned_Data!V2:V301,"Yes"),0)</f>
        <v>8.9253731343283587</v>
      </c>
      <c r="L5" s="1"/>
      <c r="M5" s="1"/>
      <c r="N5" s="46">
        <f>IFERROR(COUNTIFS(Cleaned_Data!K2:K301,"Delivered",Cleaned_Data!R2:R301,"&lt;=0",Cleaned_Data!V2:V301,"Yes")/COUNTIFS(Cleaned_Data!K2:K301,"Delivered",Cleaned_Data!V2:V301,"Yes"),0)</f>
        <v>0.12790697674418605</v>
      </c>
      <c r="O5" s="46"/>
      <c r="P5" s="46"/>
      <c r="Q5" s="46">
        <f>COUNTIF(Cleaned_Data!V2:V301,"Yes")/COUNTA(Cleaned_Data!A2:A301)</f>
        <v>0.79333333333333333</v>
      </c>
      <c r="R5" s="46"/>
      <c r="S5" s="46"/>
    </row>
    <row r="6" spans="2:19" x14ac:dyDescent="0.3">
      <c r="B6" s="3"/>
      <c r="C6" s="3"/>
      <c r="D6" s="3"/>
      <c r="E6" s="2"/>
      <c r="F6" s="2"/>
      <c r="G6" s="2"/>
      <c r="H6" s="3"/>
      <c r="I6" s="3"/>
      <c r="J6" s="3"/>
      <c r="K6" s="1"/>
      <c r="L6" s="1"/>
      <c r="M6" s="1"/>
      <c r="N6" s="46"/>
      <c r="O6" s="46"/>
      <c r="P6" s="46"/>
      <c r="Q6" s="46"/>
      <c r="R6" s="46"/>
      <c r="S6" s="46"/>
    </row>
    <row r="7" spans="2:19" ht="27.75" customHeight="1" x14ac:dyDescent="0.3">
      <c r="B7" s="47" t="s">
        <v>1161</v>
      </c>
      <c r="C7" s="47"/>
      <c r="D7" s="47"/>
      <c r="E7" s="47" t="s">
        <v>1162</v>
      </c>
      <c r="F7" s="47"/>
      <c r="G7" s="47"/>
      <c r="H7" s="47" t="s">
        <v>1163</v>
      </c>
      <c r="I7" s="47"/>
      <c r="J7" s="47"/>
      <c r="K7" s="47" t="s">
        <v>1164</v>
      </c>
      <c r="L7" s="47"/>
      <c r="M7" s="47"/>
      <c r="N7" s="47" t="s">
        <v>1165</v>
      </c>
      <c r="O7" s="47"/>
      <c r="P7" s="47"/>
      <c r="Q7" s="47" t="s">
        <v>1166</v>
      </c>
      <c r="R7" s="47"/>
      <c r="S7" s="47"/>
    </row>
    <row r="31" spans="2:20" x14ac:dyDescent="0.3">
      <c r="B31" s="42" t="s">
        <v>1167</v>
      </c>
    </row>
    <row r="32" spans="2:20" x14ac:dyDescent="0.3">
      <c r="B32" s="29" t="s">
        <v>1168</v>
      </c>
      <c r="C32" s="29" t="s">
        <v>1169</v>
      </c>
      <c r="E32" s="29" t="s">
        <v>49</v>
      </c>
      <c r="F32" s="29" t="s">
        <v>1170</v>
      </c>
      <c r="H32" s="29" t="s">
        <v>1171</v>
      </c>
      <c r="I32" s="17" t="s">
        <v>1140</v>
      </c>
      <c r="J32" s="17" t="s">
        <v>1141</v>
      </c>
      <c r="K32" s="17" t="s">
        <v>1142</v>
      </c>
      <c r="L32" s="17" t="s">
        <v>1143</v>
      </c>
      <c r="M32" s="17" t="s">
        <v>1144</v>
      </c>
      <c r="N32" s="17" t="s">
        <v>1145</v>
      </c>
      <c r="O32" s="17" t="s">
        <v>1146</v>
      </c>
      <c r="P32" s="17" t="s">
        <v>1147</v>
      </c>
      <c r="Q32" s="17" t="s">
        <v>1148</v>
      </c>
      <c r="R32" s="17" t="s">
        <v>1149</v>
      </c>
      <c r="S32" s="17" t="s">
        <v>1150</v>
      </c>
      <c r="T32" s="17" t="s">
        <v>1151</v>
      </c>
    </row>
    <row r="33" spans="2:20" x14ac:dyDescent="0.3">
      <c r="B33" s="17" t="s">
        <v>149</v>
      </c>
      <c r="C33" s="43">
        <f>SUMIFS(Cleaned_Data!Q$2:Q$301,Cleaned_Data!E$2:E$301,B33,Cleaned_Data!V$2:V$301,"Yes")</f>
        <v>96140338.699999988</v>
      </c>
      <c r="E33" s="17" t="s">
        <v>408</v>
      </c>
      <c r="F33">
        <f>COUNTIFS(Cleaned_Data!K$2:K$301,E33,Cleaned_Data!V$2:V$301,"Yes")</f>
        <v>36</v>
      </c>
      <c r="H33" s="29" t="s">
        <v>1169</v>
      </c>
      <c r="I33" s="43">
        <f>Pivot_Category_Month!C15</f>
        <v>67211019.760000005</v>
      </c>
      <c r="J33" s="43">
        <f>Pivot_Category_Month!D15</f>
        <v>44069455.079999998</v>
      </c>
      <c r="K33" s="43">
        <f>Pivot_Category_Month!E15</f>
        <v>38753084.579999998</v>
      </c>
      <c r="L33" s="43">
        <f>Pivot_Category_Month!F15</f>
        <v>57207550.060000002</v>
      </c>
      <c r="M33" s="43">
        <f>Pivot_Category_Month!G15</f>
        <v>99782977</v>
      </c>
      <c r="N33" s="43">
        <f>Pivot_Category_Month!H15</f>
        <v>70151750.799999997</v>
      </c>
      <c r="O33" s="43">
        <f>Pivot_Category_Month!I15</f>
        <v>64172655.590000004</v>
      </c>
      <c r="P33" s="43">
        <f>Pivot_Category_Month!J15</f>
        <v>94963407.450000003</v>
      </c>
      <c r="Q33" s="43">
        <f>Pivot_Category_Month!K15</f>
        <v>77047294.75999999</v>
      </c>
      <c r="R33" s="43">
        <f>Pivot_Category_Month!L15</f>
        <v>41612759.799999997</v>
      </c>
      <c r="S33" s="43">
        <f>Pivot_Category_Month!M15</f>
        <v>43883865.410000004</v>
      </c>
      <c r="T33" s="43">
        <f>Pivot_Category_Month!N15</f>
        <v>90512001.739999995</v>
      </c>
    </row>
    <row r="34" spans="2:20" x14ac:dyDescent="0.3">
      <c r="B34" s="17" t="s">
        <v>119</v>
      </c>
      <c r="C34" s="43">
        <f>SUMIFS(Cleaned_Data!Q$2:Q$301,Cleaned_Data!E$2:E$301,B34,Cleaned_Data!V$2:V$301,"Yes")</f>
        <v>115217963.38</v>
      </c>
      <c r="E34" s="17" t="s">
        <v>251</v>
      </c>
      <c r="F34">
        <f>COUNTIFS(Cleaned_Data!K$2:K$301,E34,Cleaned_Data!V$2:V$301,"Yes")</f>
        <v>50</v>
      </c>
    </row>
    <row r="35" spans="2:20" x14ac:dyDescent="0.3">
      <c r="B35" s="17" t="s">
        <v>555</v>
      </c>
      <c r="C35" s="43">
        <f>SUMIFS(Cleaned_Data!Q$2:Q$301,Cleaned_Data!E$2:E$301,B35,Cleaned_Data!V$2:V$301,"Yes")</f>
        <v>102646232.68000001</v>
      </c>
      <c r="E35" s="17" t="s">
        <v>92</v>
      </c>
      <c r="F35">
        <f>COUNTIFS(Cleaned_Data!K$2:K$301,E35,Cleaned_Data!V$2:V$301,"Yes")</f>
        <v>18</v>
      </c>
    </row>
    <row r="36" spans="2:20" x14ac:dyDescent="0.3">
      <c r="B36" s="17" t="s">
        <v>157</v>
      </c>
      <c r="C36" s="43">
        <f>SUMIFS(Cleaned_Data!Q$2:Q$301,Cleaned_Data!E$2:E$301,B36,Cleaned_Data!V$2:V$301,"Yes")</f>
        <v>117724587.3</v>
      </c>
      <c r="E36" s="17" t="s">
        <v>129</v>
      </c>
      <c r="F36">
        <f>COUNTIFS(Cleaned_Data!K$2:K$301,E36,Cleaned_Data!V$2:V$301,"Yes")</f>
        <v>48</v>
      </c>
    </row>
    <row r="37" spans="2:20" x14ac:dyDescent="0.3">
      <c r="B37" s="17" t="s">
        <v>128</v>
      </c>
      <c r="C37" s="43">
        <f>SUMIFS(Cleaned_Data!Q$2:Q$301,Cleaned_Data!E$2:E$301,B37,Cleaned_Data!V$2:V$301,"Yes")</f>
        <v>113556480.41</v>
      </c>
      <c r="E37" s="17" t="s">
        <v>261</v>
      </c>
      <c r="F37">
        <f>COUNTIFS(Cleaned_Data!K$2:K$301,E37,Cleaned_Data!V$2:V$301,"Yes")</f>
        <v>86</v>
      </c>
    </row>
    <row r="38" spans="2:20" x14ac:dyDescent="0.3">
      <c r="B38" s="17" t="s">
        <v>227</v>
      </c>
      <c r="C38" s="43">
        <f>SUMIFS(Cleaned_Data!Q$2:Q$301,Cleaned_Data!E$2:E$301,B38,Cleaned_Data!V$2:V$301,"Yes")</f>
        <v>95802826.930000007</v>
      </c>
    </row>
    <row r="39" spans="2:20" x14ac:dyDescent="0.3">
      <c r="B39" s="17" t="s">
        <v>472</v>
      </c>
      <c r="C39" s="43">
        <f>SUMIFS(Cleaned_Data!Q$2:Q$301,Cleaned_Data!E$2:E$301,B39,Cleaned_Data!V$2:V$301,"Yes")</f>
        <v>114892203.7</v>
      </c>
    </row>
    <row r="40" spans="2:20" x14ac:dyDescent="0.3">
      <c r="B40" s="29" t="s">
        <v>42</v>
      </c>
      <c r="C40" s="44" t="s">
        <v>1156</v>
      </c>
    </row>
    <row r="41" spans="2:20" x14ac:dyDescent="0.3">
      <c r="B41" s="17" t="s">
        <v>118</v>
      </c>
      <c r="C41" s="45">
        <f>Pivot_Region_Delay!F6</f>
        <v>7.5882352941176467</v>
      </c>
    </row>
    <row r="42" spans="2:20" x14ac:dyDescent="0.3">
      <c r="B42" s="17" t="s">
        <v>77</v>
      </c>
      <c r="C42" s="45">
        <f>Pivot_Region_Delay!F7</f>
        <v>7.4666666666666668</v>
      </c>
    </row>
    <row r="43" spans="2:20" x14ac:dyDescent="0.3">
      <c r="B43" s="17" t="s">
        <v>97</v>
      </c>
      <c r="C43" s="45">
        <f>Pivot_Region_Delay!F8</f>
        <v>11.5</v>
      </c>
    </row>
    <row r="44" spans="2:20" x14ac:dyDescent="0.3">
      <c r="B44" s="17" t="s">
        <v>249</v>
      </c>
      <c r="C44" s="45">
        <f>Pivot_Region_Delay!F9</f>
        <v>10</v>
      </c>
    </row>
    <row r="45" spans="2:20" x14ac:dyDescent="0.3">
      <c r="B45" s="17" t="s">
        <v>226</v>
      </c>
      <c r="C45" s="45">
        <f>Pivot_Region_Delay!F10</f>
        <v>8.4444444444444446</v>
      </c>
    </row>
  </sheetData>
  <mergeCells count="14">
    <mergeCell ref="Q7:S7"/>
    <mergeCell ref="B7:D7"/>
    <mergeCell ref="E7:G7"/>
    <mergeCell ref="H7:J7"/>
    <mergeCell ref="K7:M7"/>
    <mergeCell ref="N7:P7"/>
    <mergeCell ref="B2:R2"/>
    <mergeCell ref="B3:R3"/>
    <mergeCell ref="B5:D6"/>
    <mergeCell ref="E5:G6"/>
    <mergeCell ref="H5:J6"/>
    <mergeCell ref="K5:M6"/>
    <mergeCell ref="N5:P6"/>
    <mergeCell ref="Q5:S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README</vt:lpstr>
      <vt:lpstr>Raw_Data</vt:lpstr>
      <vt:lpstr>Lookup_Tables</vt:lpstr>
      <vt:lpstr>Cleaned_Data</vt:lpstr>
      <vt:lpstr>Data_Cleaning_Log</vt:lpstr>
      <vt:lpstr>New_Entry_Form</vt:lpstr>
      <vt:lpstr>Pivot_Unit_Status</vt:lpstr>
      <vt:lpstr>Pivot_Category_Month</vt:lpstr>
      <vt:lpstr>Pivot_Region_Delay</vt:lpstr>
      <vt:lpstr>Dashboard</vt:lpstr>
      <vt:lpstr>Cleaned_Data!Print_Area</vt:lpstr>
      <vt:lpstr>Dashboard!Print_Area</vt:lpstr>
      <vt:lpstr>Data_Cleaning_Log!Print_Area</vt:lpstr>
      <vt:lpstr>New_Entry_Form!Print_Area</vt:lpstr>
      <vt:lpstr>Pivot_Category_Month!Print_Area</vt:lpstr>
      <vt:lpstr>Pivot_Region_Delay!Print_Area</vt:lpstr>
      <vt:lpstr>Pivot_Unit_Status!Print_Area</vt:lpstr>
      <vt:lpstr>Raw_Data!Print_Area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 salunke</cp:lastModifiedBy>
  <cp:revision>1</cp:revision>
  <dcterms:created xsi:type="dcterms:W3CDTF">2026-08-20T03:34:46Z</dcterms:created>
  <dcterms:modified xsi:type="dcterms:W3CDTF">2026-08-20T03:39:54Z</dcterms:modified>
  <dc:language>en-US</dc:language>
</cp:coreProperties>
</file>